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Executive_Summary" sheetId="1" state="visible" r:id="rId1"/>
    <sheet xmlns:r="http://schemas.openxmlformats.org/officeDocument/2006/relationships" name="2_Clause_Deviation_Matrix" sheetId="2" state="visible" r:id="rId2"/>
    <sheet xmlns:r="http://schemas.openxmlformats.org/officeDocument/2006/relationships" name="3_Cross_Clause_Conflict_Log" sheetId="3" state="visible" r:id="rId3"/>
    <sheet xmlns:r="http://schemas.openxmlformats.org/officeDocument/2006/relationships" name="4_BigQuery_Precedent_Benchmarks" sheetId="4" state="visible" r:id="rId4"/>
    <sheet xmlns:r="http://schemas.openxmlformats.org/officeDocument/2006/relationships" name="5_Portfolio_Tabular_Review" sheetId="5" state="visible" r:id="rId5"/>
  </sheets>
  <definedNames/>
  <calcPr calcId="124519" fullCalcOnLoad="1"/>
</workbook>
</file>

<file path=xl/styles.xml><?xml version="1.0" encoding="utf-8"?>
<styleSheet xmlns="http://schemas.openxmlformats.org/spreadsheetml/2006/main">
  <numFmts count="3">
    <numFmt numFmtId="164" formatCode="$#,##0"/>
    <numFmt numFmtId="165" formatCode="0.0&quot;x&quot;"/>
    <numFmt numFmtId="166" formatCode="0.0%"/>
  </numFmts>
  <fonts count="9">
    <font>
      <name val="Calibri"/>
      <family val="2"/>
      <color theme="1"/>
      <sz val="11"/>
      <scheme val="minor"/>
    </font>
    <font>
      <name val="Calibri"/>
      <b val="1"/>
      <color rgb="00FFFFFF"/>
      <sz val="14"/>
    </font>
    <font>
      <name val="Calibri"/>
      <b val="1"/>
      <color rgb="00FFFFFF"/>
      <sz val="11"/>
    </font>
    <font>
      <name val="Calibri"/>
      <b val="1"/>
      <color rgb="00111827"/>
      <sz val="10"/>
    </font>
    <font>
      <name val="Calibri"/>
      <color rgb="001F2937"/>
      <sz val="10"/>
    </font>
    <font>
      <name val="Calibri"/>
      <color rgb="000000FF"/>
      <sz val="10"/>
    </font>
    <font>
      <name val="Calibri"/>
      <b val="1"/>
      <color rgb="00000000"/>
      <sz val="10"/>
    </font>
    <font>
      <name val="Calibri"/>
      <b val="1"/>
      <color rgb="00008000"/>
      <sz val="10"/>
    </font>
    <font>
      <name val="Calibri"/>
      <b val="1"/>
      <color rgb="000033A0"/>
      <sz val="11"/>
    </font>
  </fonts>
  <fills count="11">
    <fill>
      <patternFill/>
    </fill>
    <fill>
      <patternFill patternType="gray125"/>
    </fill>
    <fill>
      <patternFill patternType="solid">
        <fgColor rgb="000033A0"/>
        <bgColor rgb="000033A0"/>
      </patternFill>
    </fill>
    <fill>
      <patternFill patternType="solid">
        <fgColor rgb="001E3A8A"/>
        <bgColor rgb="001E3A8A"/>
      </patternFill>
    </fill>
    <fill>
      <patternFill patternType="solid">
        <fgColor rgb="00F8FAFC"/>
        <bgColor rgb="00F8FAFC"/>
      </patternFill>
    </fill>
    <fill>
      <patternFill patternType="solid">
        <fgColor rgb="00F1F5F9"/>
        <bgColor rgb="00F1F5F9"/>
      </patternFill>
    </fill>
    <fill>
      <patternFill patternType="solid">
        <fgColor rgb="00DCFCE7"/>
        <bgColor rgb="00DCFCE7"/>
      </patternFill>
    </fill>
    <fill>
      <patternFill patternType="solid">
        <fgColor rgb="00FFEDD5"/>
        <bgColor rgb="00FFEDD5"/>
      </patternFill>
    </fill>
    <fill>
      <patternFill patternType="solid">
        <fgColor rgb="00FEE2E2"/>
        <bgColor rgb="00FEE2E2"/>
      </patternFill>
    </fill>
    <fill>
      <patternFill patternType="solid">
        <fgColor rgb="00FEF3C7"/>
        <bgColor rgb="00FEF3C7"/>
      </patternFill>
    </fill>
    <fill>
      <patternFill patternType="solid">
        <fgColor rgb="00EFF6FF"/>
        <bgColor rgb="00EFF6FF"/>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thin">
        <color rgb="00000000"/>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wrapText="1"/>
    </xf>
    <xf numFmtId="0" fontId="3" fillId="4" borderId="1" applyAlignment="1" pivotButton="0" quotePrefix="0" xfId="0">
      <alignment vertical="center"/>
    </xf>
    <xf numFmtId="0" fontId="4" fillId="4" borderId="1" applyAlignment="1" pivotButton="0" quotePrefix="0" xfId="0">
      <alignment horizontal="left" vertical="center" wrapText="1"/>
    </xf>
    <xf numFmtId="0" fontId="3" fillId="0" borderId="1" applyAlignment="1" pivotButton="0" quotePrefix="0" xfId="0">
      <alignment vertical="center"/>
    </xf>
    <xf numFmtId="0" fontId="4" fillId="0" borderId="1" applyAlignment="1" pivotButton="0" quotePrefix="0" xfId="0">
      <alignment horizontal="left" vertical="center" wrapText="1"/>
    </xf>
    <xf numFmtId="164" fontId="5" fillId="0" borderId="1" applyAlignment="1" pivotButton="0" quotePrefix="0" xfId="0">
      <alignment horizontal="right" vertical="center"/>
    </xf>
    <xf numFmtId="165" fontId="5" fillId="4" borderId="1" applyAlignment="1" pivotButton="0" quotePrefix="0" xfId="0">
      <alignment horizontal="right" vertical="center"/>
    </xf>
    <xf numFmtId="164" fontId="6" fillId="0" borderId="1" applyAlignment="1" pivotButton="0" quotePrefix="0" xfId="0">
      <alignment horizontal="right" vertical="center"/>
    </xf>
    <xf numFmtId="0" fontId="3" fillId="0" borderId="1" applyAlignment="1" pivotButton="0" quotePrefix="0" xfId="0">
      <alignment horizontal="left" vertical="center" wrapText="1"/>
    </xf>
    <xf numFmtId="3" fontId="7" fillId="4" borderId="1" applyAlignment="1" pivotButton="0" quotePrefix="0" xfId="0">
      <alignment horizontal="right" vertical="center"/>
    </xf>
    <xf numFmtId="3" fontId="7" fillId="0" borderId="1" applyAlignment="1" pivotButton="0" quotePrefix="0" xfId="0">
      <alignment horizontal="right" vertical="center"/>
    </xf>
    <xf numFmtId="0" fontId="2" fillId="2" borderId="1" applyAlignment="1" pivotButton="0" quotePrefix="0" xfId="0">
      <alignment horizontal="lef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5"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8" fillId="0" borderId="0" pivotButton="0" quotePrefix="0" xfId="0"/>
    <xf numFmtId="3" fontId="5" fillId="0" borderId="1" applyAlignment="1" pivotButton="0" quotePrefix="0" xfId="0">
      <alignment horizontal="right" vertical="top"/>
    </xf>
    <xf numFmtId="3" fontId="6" fillId="0" borderId="1" applyAlignment="1" pivotButton="0" quotePrefix="0" xfId="0">
      <alignment horizontal="right" vertical="top"/>
    </xf>
    <xf numFmtId="166" fontId="6" fillId="0" borderId="1" applyAlignment="1" pivotButton="0" quotePrefix="0" xfId="0">
      <alignment horizontal="right" vertical="top"/>
    </xf>
    <xf numFmtId="166" fontId="5" fillId="0" borderId="1" applyAlignment="1" pivotButton="0" quotePrefix="0" xfId="0">
      <alignment horizontal="right" vertical="top"/>
    </xf>
    <xf numFmtId="3" fontId="5" fillId="4" borderId="1" applyAlignment="1" pivotButton="0" quotePrefix="0" xfId="0">
      <alignment horizontal="right" vertical="top"/>
    </xf>
    <xf numFmtId="3" fontId="6" fillId="4" borderId="1" applyAlignment="1" pivotButton="0" quotePrefix="0" xfId="0">
      <alignment horizontal="right" vertical="top"/>
    </xf>
    <xf numFmtId="166" fontId="6" fillId="4" borderId="1" applyAlignment="1" pivotButton="0" quotePrefix="0" xfId="0">
      <alignment horizontal="right" vertical="top"/>
    </xf>
    <xf numFmtId="166" fontId="5" fillId="4" borderId="1" applyAlignment="1" pivotButton="0" quotePrefix="0" xfId="0">
      <alignment horizontal="right" vertical="top"/>
    </xf>
    <xf numFmtId="164" fontId="5" fillId="0" borderId="1" applyAlignment="1" pivotButton="0" quotePrefix="0" xfId="0">
      <alignment horizontal="right" vertical="top"/>
    </xf>
    <xf numFmtId="165" fontId="5" fillId="0" borderId="1" applyAlignment="1" pivotButton="0" quotePrefix="0" xfId="0">
      <alignment horizontal="right" vertical="top"/>
    </xf>
    <xf numFmtId="0" fontId="3" fillId="10" borderId="2" applyAlignment="1" pivotButton="0" quotePrefix="0" xfId="0">
      <alignment vertical="center" wrapText="1"/>
    </xf>
    <xf numFmtId="3" fontId="6" fillId="10" borderId="2" applyAlignment="1" pivotButton="0" quotePrefix="0" xfId="0">
      <alignment horizontal="right" vertical="center"/>
    </xf>
    <xf numFmtId="164" fontId="6" fillId="10" borderId="2" applyAlignment="1" pivotButton="0" quotePrefix="0" xfId="0">
      <alignment horizontal="right" vertical="center"/>
    </xf>
    <xf numFmtId="165" fontId="6" fillId="1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1" workbookViewId="0">
      <selection activeCell="A1" sqref="A1"/>
    </sheetView>
  </sheetViews>
  <sheetFormatPr baseColWidth="8" defaultRowHeight="15"/>
  <cols>
    <col width="38" customWidth="1" min="1" max="1"/>
    <col width="72" customWidth="1" min="2" max="2"/>
  </cols>
  <sheetData>
    <row r="1" ht="30" customHeight="1">
      <c r="A1" s="1" t="inlineStr">
        <is>
          <t>CYMBAL AEROSPACE CORPORATION — CLM DEVIATION MATRIX (BA-2026-AV-8921)</t>
        </is>
      </c>
    </row>
    <row r="2" ht="24" customHeight="1">
      <c r="A2" s="2" t="inlineStr">
        <is>
          <t>Metadata Field</t>
        </is>
      </c>
      <c r="B2" s="2" t="inlineStr">
        <is>
          <t>Value</t>
        </is>
      </c>
    </row>
    <row r="3">
      <c r="A3" s="3" t="inlineStr">
        <is>
          <t>Deal ID</t>
        </is>
      </c>
      <c r="B3" s="4" t="inlineStr">
        <is>
          <t>BA-2026-AV-8921</t>
        </is>
      </c>
    </row>
    <row r="4">
      <c r="A4" s="5" t="inlineStr">
        <is>
          <t>Buyer (Prime OEM)</t>
        </is>
      </c>
      <c r="B4" s="6" t="inlineStr">
        <is>
          <t>Cymbal Aerospace Corporation</t>
        </is>
      </c>
    </row>
    <row r="5">
      <c r="A5" s="3" t="inlineStr">
        <is>
          <t>Supplier / Vendor Name</t>
        </is>
      </c>
      <c r="B5" s="4" t="inlineStr">
        <is>
          <t>Apex AeroSystems Inc.</t>
        </is>
      </c>
    </row>
    <row r="6">
      <c r="A6" s="5" t="inlineStr">
        <is>
          <t>Supplier Tier</t>
        </is>
      </c>
      <c r="B6" s="6" t="inlineStr">
        <is>
          <t>Tier-1 Avionics</t>
        </is>
      </c>
    </row>
    <row r="7">
      <c r="A7" s="3" t="inlineStr">
        <is>
          <t>Aircraft Program</t>
        </is>
      </c>
      <c r="B7" s="4" t="inlineStr">
        <is>
          <t>787 / 737-MAX Flight Control Display Units (FCC-900)</t>
        </is>
      </c>
    </row>
    <row r="8">
      <c r="A8" s="5" t="inlineStr">
        <is>
          <t>Contract Value (USD)</t>
        </is>
      </c>
      <c r="B8" s="7" t="n">
        <v>45000000</v>
      </c>
    </row>
    <row r="9">
      <c r="A9" s="3" t="inlineStr">
        <is>
          <t>Tier-1 Liability Cap Multiple</t>
        </is>
      </c>
      <c r="B9" s="8" t="n">
        <v>2</v>
      </c>
    </row>
    <row r="10">
      <c r="A10" s="5" t="inlineStr">
        <is>
          <t>Tier-1 Liability Cap Ceiling (USD)</t>
        </is>
      </c>
      <c r="B10" s="9">
        <f>B8*B9</f>
        <v/>
      </c>
    </row>
    <row r="11">
      <c r="A11" s="3" t="inlineStr">
        <is>
          <t>Proforma Stack</t>
        </is>
      </c>
      <c r="B11" s="4" t="inlineStr">
        <is>
          <t>Cymbal GP1 (General Provisions) + SP3 (International/Tax) + SP5 (Cyber/DFARS)</t>
        </is>
      </c>
    </row>
    <row r="12">
      <c r="A12" s="5" t="inlineStr">
        <is>
          <t>Pricing Model</t>
        </is>
      </c>
      <c r="B12" s="6" t="inlineStr">
        <is>
          <t>Firm-Fixed-Price (FFP) — $45,000,000 Ceiling</t>
        </is>
      </c>
    </row>
    <row r="13">
      <c r="A13" s="3" t="inlineStr">
        <is>
          <t>SOW Cap Clause Reference</t>
        </is>
      </c>
      <c r="B13" s="4" t="inlineStr">
        <is>
          <t>GP1 §3.1</t>
        </is>
      </c>
    </row>
    <row r="14">
      <c r="A14" s="5" t="inlineStr">
        <is>
          <t>Overall Deal Status</t>
        </is>
      </c>
      <c r="B14" s="10" t="inlineStr">
        <is>
          <t>READY_FOR_DISPATCH</t>
        </is>
      </c>
    </row>
    <row r="15">
      <c r="A15" s="3" t="inlineStr">
        <is>
          <t>Total Clauses Parsed</t>
        </is>
      </c>
      <c r="B15" s="11">
        <f>COUNTA('2_Clause_Deviation_Matrix'!A2:A13)</f>
        <v/>
      </c>
    </row>
    <row r="16">
      <c r="A16" s="5" t="inlineStr">
        <is>
          <t>Untouched Clauses Count</t>
        </is>
      </c>
      <c r="B16" s="12">
        <f>COUNTIF('2_Clause_Deviation_Matrix'!F2:F13,"NO")</f>
        <v/>
      </c>
    </row>
    <row r="17">
      <c r="A17" s="3" t="inlineStr">
        <is>
          <t>Redlined Clauses Count</t>
        </is>
      </c>
      <c r="B17" s="11">
        <f>COUNTIF('2_Clause_Deviation_Matrix'!F2:F13,"YES")</f>
        <v/>
      </c>
    </row>
    <row r="18">
      <c r="A18" s="5" t="inlineStr">
        <is>
          <t>Approved Redlined Clauses Count</t>
        </is>
      </c>
      <c r="B18" s="12">
        <f>COUNTIFS('2_Clause_Deviation_Matrix'!F2:F13,"YES",'2_Clause_Deviation_Matrix'!G2:G13,"APPROVED")</f>
        <v/>
      </c>
    </row>
    <row r="19">
      <c r="A19" s="3" t="inlineStr">
        <is>
          <t>Active Cross-Clause Conflicts</t>
        </is>
      </c>
      <c r="B19" s="11">
        <f>COUNTA('3_Cross_Clause_Conflict_Log'!A2:A20)</f>
        <v/>
      </c>
    </row>
    <row r="20">
      <c r="A20" s="5" t="inlineStr">
        <is>
          <t>M365 SharePoint Folder Link</t>
        </is>
      </c>
      <c r="B20" s="6" t="inlineStr">
        <is>
          <t>https://36zrbd.sharepoint.com/sites/CymbalAerospace/Shared%20Documents/BA-2026-AV-8921</t>
        </is>
      </c>
    </row>
    <row r="21">
      <c r="A21" s="3" t="inlineStr">
        <is>
          <t>SharePoint Deviation Matrix File</t>
        </is>
      </c>
      <c r="B21" s="4" t="inlineStr">
        <is>
          <t>BA-2026-AV-8921_SharePoint_Deviation_Matrix.xlsx</t>
        </is>
      </c>
    </row>
    <row r="22">
      <c r="A22" s="5" t="inlineStr">
        <is>
          <t>BigQuery Dataset</t>
        </is>
      </c>
      <c r="B22" s="6" t="inlineStr">
        <is>
          <t>vertex-ai-demos-468803.boeing_clm</t>
        </is>
      </c>
    </row>
    <row r="23">
      <c r="A23" s="3" t="inlineStr">
        <is>
          <t>Last Updated (UTC)</t>
        </is>
      </c>
      <c r="B23" s="4" t="inlineStr">
        <is>
          <t>2026-10-28T04:07:32.683256+00:00</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showGridLines="1" workbookViewId="0">
      <selection activeCell="A1" sqref="A1"/>
    </sheetView>
  </sheetViews>
  <sheetFormatPr baseColWidth="8" defaultRowHeight="15"/>
  <cols>
    <col width="14" customWidth="1" min="1" max="1"/>
    <col width="10" customWidth="1" min="2" max="2"/>
    <col width="16" customWidth="1" min="3" max="3"/>
    <col width="32" customWidth="1" min="4" max="4"/>
    <col width="16" customWidth="1" min="5" max="5"/>
    <col width="12" customWidth="1" min="6" max="6"/>
    <col width="16" customWidth="1" min="7" max="7"/>
    <col width="26" customWidth="1" min="8" max="8"/>
    <col width="14" customWidth="1" min="9" max="9"/>
    <col width="28" customWidth="1" min="10" max="10"/>
    <col width="48" customWidth="1" min="11" max="11"/>
    <col width="48" customWidth="1" min="12" max="12"/>
    <col width="40" customWidth="1" min="13" max="13"/>
    <col width="20" customWidth="1" min="14" max="14"/>
    <col width="48" customWidth="1" min="15" max="15"/>
    <col width="24" customWidth="1" min="16" max="16"/>
    <col width="44" customWidth="1" min="17" max="17"/>
  </cols>
  <sheetData>
    <row r="1" ht="24" customHeight="1">
      <c r="A1" s="13" t="inlineStr">
        <is>
          <t>Clause ID</t>
        </is>
      </c>
      <c r="B1" s="13" t="inlineStr">
        <is>
          <t>Proforma</t>
        </is>
      </c>
      <c r="C1" s="13" t="inlineStr">
        <is>
          <t>Section Ref</t>
        </is>
      </c>
      <c r="D1" s="13" t="inlineStr">
        <is>
          <t>Clause Title</t>
        </is>
      </c>
      <c r="E1" s="13" t="inlineStr">
        <is>
          <t>SME Team</t>
        </is>
      </c>
      <c r="F1" s="13" t="inlineStr">
        <is>
          <t>Redlined?</t>
        </is>
      </c>
      <c r="G1" s="13" t="inlineStr">
        <is>
          <t>SME Status</t>
        </is>
      </c>
      <c r="H1" s="13" t="inlineStr">
        <is>
          <t>SME Owner</t>
        </is>
      </c>
      <c r="I1" s="13" t="inlineStr">
        <is>
          <t>Risk Level</t>
        </is>
      </c>
      <c r="J1" s="13" t="inlineStr">
        <is>
          <t>Regulatory Flag</t>
        </is>
      </c>
      <c r="K1" s="13" t="inlineStr">
        <is>
          <t>Boeing Baseline</t>
        </is>
      </c>
      <c r="L1" s="13" t="inlineStr">
        <is>
          <t>Vendor Redline</t>
        </is>
      </c>
      <c r="M1" s="13" t="inlineStr">
        <is>
          <t>Vendor Comment</t>
        </is>
      </c>
      <c r="N1" s="13" t="inlineStr">
        <is>
          <t>Selected Option</t>
        </is>
      </c>
      <c r="O1" s="13" t="inlineStr">
        <is>
          <t>Selected Counter-Position</t>
        </is>
      </c>
      <c r="P1" s="13" t="inlineStr">
        <is>
          <t>Reviewer</t>
        </is>
      </c>
      <c r="Q1" s="13" t="inlineStr">
        <is>
          <t>SME Rationale</t>
        </is>
      </c>
    </row>
    <row r="2" ht="48" customHeight="1">
      <c r="A2" s="14" t="inlineStr">
        <is>
          <t>GP1-01</t>
        </is>
      </c>
      <c r="B2" s="15" t="inlineStr">
        <is>
          <t>GP1</t>
        </is>
      </c>
      <c r="C2" s="15" t="inlineStr">
        <is>
          <t>GP1 §1.1</t>
        </is>
      </c>
      <c r="D2" s="15" t="inlineStr">
        <is>
          <t>Definitions &amp; Order of Precedence</t>
        </is>
      </c>
      <c r="E2" s="14" t="inlineStr">
        <is>
          <t>PROCUREMENT</t>
        </is>
      </c>
      <c r="F2" s="15" t="inlineStr">
        <is>
          <t>NO</t>
        </is>
      </c>
      <c r="G2" s="16" t="inlineStr">
        <is>
          <t>UNTOUCHED</t>
        </is>
      </c>
      <c r="H2" s="15" t="inlineStr">
        <is>
          <t>Procurement &amp; Subcontracts</t>
        </is>
      </c>
      <c r="I2" s="16" t="inlineStr">
        <is>
          <t>NONE</t>
        </is>
      </c>
      <c r="J2" s="15" t="inlineStr">
        <is>
          <t>Boeing Corporate GP1 Standard</t>
        </is>
      </c>
      <c r="K2" s="15" t="inlineStr">
        <is>
          <t>1.1 Buyer means The Boeing Company or its wholly-owned subsidiary identified on the face of the Contract. Seller means the legal entity contracting with Buyer. In the event of any inconsistency among Contract documents, Special Provisions (SP) shall take precedence over General Provisions (GP1), excluding Firm-Fixed-Price caps set forth in GP1 §3.1.</t>
        </is>
      </c>
      <c r="L2" s="15" t="inlineStr">
        <is>
          <t>1.1 Buyer means The Boeing Company or its wholly-owned subsidiary identified on the face of the Contract. Seller means the legal entity contracting with Buyer. In the event of any inconsistency among Contract documents, Special Provisions (SP) shall take precedence over General Provisions (GP1), excluding Firm-Fixed-Price caps set forth in GP1 §3.1.</t>
        </is>
      </c>
      <c r="M2" s="15" t="inlineStr"/>
      <c r="N2" s="15" t="inlineStr">
        <is>
          <t>hold_firm</t>
        </is>
      </c>
      <c r="O2" s="15" t="inlineStr">
        <is>
          <t>1.1 Buyer means The Boeing Company or its wholly-owned subsidiary identified on the face of the Contract. Seller means the legal entity contracting with Buyer. In the event of any inconsistency among Contract documents, Special Provisions (SP) shall take precedence over General Provisions (GP1), excluding Firm-Fixed-Price caps set forth in GP1 §3.1.</t>
        </is>
      </c>
      <c r="P2" s="15" t="inlineStr">
        <is>
          <t>Auto-Verified (No Redline)</t>
        </is>
      </c>
      <c r="Q2" s="15" t="inlineStr">
        <is>
          <t>Clause matches Boeing Proforma GP1/SP baseline with zero Track Changes.</t>
        </is>
      </c>
    </row>
    <row r="3" ht="48" customHeight="1">
      <c r="A3" s="17" t="inlineStr">
        <is>
          <t>GP1-03</t>
        </is>
      </c>
      <c r="B3" s="18" t="inlineStr">
        <is>
          <t>GP1</t>
        </is>
      </c>
      <c r="C3" s="18" t="inlineStr">
        <is>
          <t>GP1 §3.1</t>
        </is>
      </c>
      <c r="D3" s="18" t="inlineStr">
        <is>
          <t>Firm-Fixed-Price SOW Cap &amp; Pricing Integrity</t>
        </is>
      </c>
      <c r="E3" s="17" t="inlineStr">
        <is>
          <t>PROCUREMENT</t>
        </is>
      </c>
      <c r="F3" s="18" t="inlineStr">
        <is>
          <t>NO</t>
        </is>
      </c>
      <c r="G3" s="16" t="inlineStr">
        <is>
          <t>UNTOUCHED</t>
        </is>
      </c>
      <c r="H3" s="18" t="inlineStr">
        <is>
          <t>Procurement &amp; Cost Management</t>
        </is>
      </c>
      <c r="I3" s="16" t="inlineStr">
        <is>
          <t>NONE</t>
        </is>
      </c>
      <c r="J3" s="18" t="inlineStr">
        <is>
          <t>Firm-Fixed-Price SOW Lock</t>
        </is>
      </c>
      <c r="K3" s="18" t="inlineStr">
        <is>
          <t>3.1 Unless expressly modified by a bilateral Change Order signed by Buyer's Authorized Procurement Representative referencing this GP1 §3.1, all unit prices in Statement of Work (SOW) Schedule A are Firm-Fixed-Price (FFP) and shall not be subject to uncapped surcharges, tariff pass-throughs, or raw material indexing.</t>
        </is>
      </c>
      <c r="L3" s="18" t="inlineStr">
        <is>
          <t>3.1 Unless expressly modified by a bilateral Change Order signed by Buyer's Authorized Procurement Representative referencing this GP1 §3.1, all unit prices in Statement of Work (SOW) Schedule A are Firm-Fixed-Price (FFP) and shall not be subject to uncapped surcharges, tariff pass-throughs, or raw material indexing.</t>
        </is>
      </c>
      <c r="M3" s="18" t="inlineStr"/>
      <c r="N3" s="18" t="inlineStr">
        <is>
          <t>hold_firm</t>
        </is>
      </c>
      <c r="O3" s="18" t="inlineStr">
        <is>
          <t>3.1 Unless expressly modified by a bilateral Change Order signed by Buyer's Authorized Procurement Representative referencing this GP1 §3.1, all unit prices in Statement of Work (SOW) Schedule A are Firm-Fixed-Price (FFP) and shall not be subject to uncapped surcharges, tariff pass-throughs, or raw material indexing.</t>
        </is>
      </c>
      <c r="P3" s="18" t="inlineStr">
        <is>
          <t>Auto-Verified (No Redline)</t>
        </is>
      </c>
      <c r="Q3" s="18" t="inlineStr">
        <is>
          <t>Clause matches Boeing Proforma GP1/SP baseline with zero Track Changes.</t>
        </is>
      </c>
    </row>
    <row r="4" ht="48" customHeight="1">
      <c r="A4" s="14" t="inlineStr">
        <is>
          <t>GP1-05</t>
        </is>
      </c>
      <c r="B4" s="15" t="inlineStr">
        <is>
          <t>GP1</t>
        </is>
      </c>
      <c r="C4" s="15" t="inlineStr">
        <is>
          <t>GP1 §5.2</t>
        </is>
      </c>
      <c r="D4" s="15" t="inlineStr">
        <is>
          <t>Packing, Marking &amp; Aerospace Preservation</t>
        </is>
      </c>
      <c r="E4" s="14" t="inlineStr">
        <is>
          <t>ENGINEERING</t>
        </is>
      </c>
      <c r="F4" s="15" t="inlineStr">
        <is>
          <t>NO</t>
        </is>
      </c>
      <c r="G4" s="16" t="inlineStr">
        <is>
          <t>UNTOUCHED</t>
        </is>
      </c>
      <c r="H4" s="15" t="inlineStr">
        <is>
          <t>Supplier Logistics &amp; Packaging</t>
        </is>
      </c>
      <c r="I4" s="16" t="inlineStr">
        <is>
          <t>NONE</t>
        </is>
      </c>
      <c r="J4" s="15" t="inlineStr">
        <is>
          <t>ATA Spec 300 / D6-81628</t>
        </is>
      </c>
      <c r="K4" s="15" t="inlineStr">
        <is>
          <t>5.2 Seller shall pack, mark, and ship all Goods in accordance with Boeing Document D6-81628 and ATA Spec 300 electro-static discharge (ESD) protection standards for Class 1 flight-critical avionics.</t>
        </is>
      </c>
      <c r="L4" s="15" t="inlineStr">
        <is>
          <t>5.2 Seller shall pack, mark, and ship all Goods in accordance with Boeing Document D6-81628 and ATA Spec 300 electro-static discharge (ESD) protection standards for Class 1 flight-critical avionics.</t>
        </is>
      </c>
      <c r="M4" s="15" t="inlineStr"/>
      <c r="N4" s="15" t="inlineStr">
        <is>
          <t>hold_firm</t>
        </is>
      </c>
      <c r="O4" s="15" t="inlineStr">
        <is>
          <t>5.2 Seller shall pack, mark, and ship all Goods in accordance with Boeing Document D6-81628 and ATA Spec 300 electro-static discharge (ESD) protection standards for Class 1 flight-critical avionics.</t>
        </is>
      </c>
      <c r="P4" s="15" t="inlineStr">
        <is>
          <t>Auto-Verified (No Redline)</t>
        </is>
      </c>
      <c r="Q4" s="15" t="inlineStr">
        <is>
          <t>Clause matches Boeing Proforma GP1/SP baseline with zero Track Changes.</t>
        </is>
      </c>
    </row>
    <row r="5" ht="48" customHeight="1">
      <c r="A5" s="17" t="inlineStr">
        <is>
          <t>GP1-07</t>
        </is>
      </c>
      <c r="B5" s="18" t="inlineStr">
        <is>
          <t>GP1</t>
        </is>
      </c>
      <c r="C5" s="18" t="inlineStr">
        <is>
          <t>GP1 §7.1</t>
        </is>
      </c>
      <c r="D5" s="18" t="inlineStr">
        <is>
          <t>Quality Management System (AS9100 Rev D)</t>
        </is>
      </c>
      <c r="E5" s="17" t="inlineStr">
        <is>
          <t>ENGINEERING</t>
        </is>
      </c>
      <c r="F5" s="18" t="inlineStr">
        <is>
          <t>NO</t>
        </is>
      </c>
      <c r="G5" s="16" t="inlineStr">
        <is>
          <t>UNTOUCHED</t>
        </is>
      </c>
      <c r="H5" s="18" t="inlineStr">
        <is>
          <t>Supplier Quality Assurance</t>
        </is>
      </c>
      <c r="I5" s="16" t="inlineStr">
        <is>
          <t>NONE</t>
        </is>
      </c>
      <c r="J5" s="18" t="inlineStr">
        <is>
          <t>AS9100 Rev D / D6-82479</t>
        </is>
      </c>
      <c r="K5" s="18" t="inlineStr">
        <is>
          <t>7.1 Seller shall maintain an accredited AS9100 Rev D Quality Management System and comply with Boeing Quality Management System Requirements for Suppliers (D6-82479) throughout Contract performance.</t>
        </is>
      </c>
      <c r="L5" s="18" t="inlineStr">
        <is>
          <t>7.1 Seller shall maintain an accredited AS9100 Rev D Quality Management System and comply with Boeing Quality Management System Requirements for Suppliers (D6-82479) throughout Contract performance.</t>
        </is>
      </c>
      <c r="M5" s="18" t="inlineStr"/>
      <c r="N5" s="18" t="inlineStr">
        <is>
          <t>hold_firm</t>
        </is>
      </c>
      <c r="O5" s="18" t="inlineStr">
        <is>
          <t>7.1 Seller shall maintain an accredited AS9100 Rev D Quality Management System and comply with Boeing Quality Management System Requirements for Suppliers (D6-82479) throughout Contract performance.</t>
        </is>
      </c>
      <c r="P5" s="18" t="inlineStr">
        <is>
          <t>Auto-Verified (No Redline)</t>
        </is>
      </c>
      <c r="Q5" s="18" t="inlineStr">
        <is>
          <t>Clause matches Boeing Proforma GP1/SP baseline with zero Track Changes.</t>
        </is>
      </c>
    </row>
    <row r="6" ht="48" customHeight="1">
      <c r="A6" s="14" t="inlineStr">
        <is>
          <t>GP1-09</t>
        </is>
      </c>
      <c r="B6" s="15" t="inlineStr">
        <is>
          <t>GP1</t>
        </is>
      </c>
      <c r="C6" s="15" t="inlineStr">
        <is>
          <t>GP1 §9.1</t>
        </is>
      </c>
      <c r="D6" s="15" t="inlineStr">
        <is>
          <t>Changes &amp; Equitable Adjustment</t>
        </is>
      </c>
      <c r="E6" s="14" t="inlineStr">
        <is>
          <t>PROCUREMENT</t>
        </is>
      </c>
      <c r="F6" s="15" t="inlineStr">
        <is>
          <t>NO</t>
        </is>
      </c>
      <c r="G6" s="16" t="inlineStr">
        <is>
          <t>UNTOUCHED</t>
        </is>
      </c>
      <c r="H6" s="15" t="inlineStr">
        <is>
          <t>Procurement &amp; Subcontracts</t>
        </is>
      </c>
      <c r="I6" s="16" t="inlineStr">
        <is>
          <t>NONE</t>
        </is>
      </c>
      <c r="J6" s="15" t="inlineStr">
        <is>
          <t>Boeing Corporate GP1 Standard</t>
        </is>
      </c>
      <c r="K6" s="15" t="inlineStr">
        <is>
          <t>9.1 Buyer's Authorized Procurement Representative may at any time, by written order, direct changes within the general scope of this Contract in drawings, designs, specifications, or delivery schedules.</t>
        </is>
      </c>
      <c r="L6" s="15" t="inlineStr">
        <is>
          <t>9.1 Buyer's Authorized Procurement Representative may at any time, by written order, direct changes within the general scope of this Contract in drawings, designs, specifications, or delivery schedules.</t>
        </is>
      </c>
      <c r="M6" s="15" t="inlineStr"/>
      <c r="N6" s="15" t="inlineStr">
        <is>
          <t>hold_firm</t>
        </is>
      </c>
      <c r="O6" s="15" t="inlineStr">
        <is>
          <t>9.1 Buyer's Authorized Procurement Representative may at any time, by written order, direct changes within the general scope of this Contract in drawings, designs, specifications, or delivery schedules.</t>
        </is>
      </c>
      <c r="P6" s="15" t="inlineStr">
        <is>
          <t>Auto-Verified (No Redline)</t>
        </is>
      </c>
      <c r="Q6" s="15" t="inlineStr">
        <is>
          <t>Clause matches Boeing Proforma GP1/SP baseline with zero Track Changes.</t>
        </is>
      </c>
    </row>
    <row r="7" ht="48" customHeight="1">
      <c r="A7" s="17" t="inlineStr">
        <is>
          <t>GP1-12</t>
        </is>
      </c>
      <c r="B7" s="18" t="inlineStr">
        <is>
          <t>GP1</t>
        </is>
      </c>
      <c r="C7" s="18" t="inlineStr">
        <is>
          <t>GP1 §12.2</t>
        </is>
      </c>
      <c r="D7" s="18" t="inlineStr">
        <is>
          <t>Warranty &amp; FAA Source Inspection</t>
        </is>
      </c>
      <c r="E7" s="17" t="inlineStr">
        <is>
          <t>ENGINEERING</t>
        </is>
      </c>
      <c r="F7" s="18" t="inlineStr">
        <is>
          <t>YES</t>
        </is>
      </c>
      <c r="G7" s="19" t="inlineStr">
        <is>
          <t>APPROVED</t>
        </is>
      </c>
      <c r="H7" s="18" t="inlineStr">
        <is>
          <t>Engineering &amp; QA (FAA DER)</t>
        </is>
      </c>
      <c r="I7" s="20" t="inlineStr">
        <is>
          <t>HIGH</t>
        </is>
      </c>
      <c r="J7" s="18" t="inlineStr">
        <is>
          <t>FAA 14 CFR Part 21 Lockout</t>
        </is>
      </c>
      <c r="K7" s="18" t="inlineStr">
        <is>
          <t>12.2 Seller warrants all Goods against defects in material, workmanship, and avionics firmware for thirty-six (36) months from initial aircraft delivery to Boeing's airline customer. Boeing and FAA representatives may conduct unannounced source inspections at Seller's facility at any time to verify AS9100 Rev D and FAA 14 CFR Part 21 production airworthiness compliance.</t>
        </is>
      </c>
      <c r="L7" s="18" t="inlineStr">
        <is>
          <t>12.2 Seller warrants all Goods against defects in material, workmanship, and avionics firmware for twelve (12) months from factory shipment. Boeing and FAA representatives may conduct scheduled inspections upon thirty (30) days prior written notice to verify AS9100 Rev D and FAA 14 CFR Part 21 production airworthiness compliance.</t>
        </is>
      </c>
      <c r="M7" s="18" t="inlineStr">
        <is>
          <t>Apex AeroSystems Legal: Our standard commercial avionics warranty is 12 months from ex-works shipment, and unannounced facility audits disrupt cleanroom assembly shifts.</t>
        </is>
      </c>
      <c r="N7" s="18" t="inlineStr">
        <is>
          <t>hold_firm</t>
        </is>
      </c>
      <c r="O7" s="18"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P7" s="18" t="inlineStr">
        <is>
          <t>Lead Contract Owner (M. Vance)</t>
        </is>
      </c>
      <c r="Q7" s="18" t="inlineStr">
        <is>
          <t>Harmonized LOCKOUT-GP1-12-FAA across ENGINEERING (GP1-12) and ENGINEERING (GP1-12): applied Playbook harmonized resolution (hold_firm) preserving GP1-12 guardrails.</t>
        </is>
      </c>
    </row>
    <row r="8" ht="48" customHeight="1">
      <c r="A8" s="14" t="inlineStr">
        <is>
          <t>GP1-15</t>
        </is>
      </c>
      <c r="B8" s="15" t="inlineStr">
        <is>
          <t>GP1</t>
        </is>
      </c>
      <c r="C8" s="15" t="inlineStr">
        <is>
          <t>GP1 §15.1</t>
        </is>
      </c>
      <c r="D8" s="15" t="inlineStr">
        <is>
          <t>Termination for Convenience</t>
        </is>
      </c>
      <c r="E8" s="14" t="inlineStr">
        <is>
          <t>LEGAL</t>
        </is>
      </c>
      <c r="F8" s="15" t="inlineStr">
        <is>
          <t>NO</t>
        </is>
      </c>
      <c r="G8" s="16" t="inlineStr">
        <is>
          <t>UNTOUCHED</t>
        </is>
      </c>
      <c r="H8" s="15" t="inlineStr">
        <is>
          <t>Corporate Legal &amp; Commercial</t>
        </is>
      </c>
      <c r="I8" s="16" t="inlineStr">
        <is>
          <t>NONE</t>
        </is>
      </c>
      <c r="J8" s="15" t="inlineStr">
        <is>
          <t>FAR 52.249-2 Aligned</t>
        </is>
      </c>
      <c r="K8" s="15" t="inlineStr">
        <is>
          <t>15.1 Buyer may terminate all or any part of this Contract for convenience by written notice to Seller. Seller shall immediately stop all terminated work and mitigate termination settlement costs.</t>
        </is>
      </c>
      <c r="L8" s="15" t="inlineStr">
        <is>
          <t>15.1 Buyer may terminate all or any part of this Contract for convenience by written notice to Seller. Seller shall immediately stop all terminated work and mitigate termination settlement costs.</t>
        </is>
      </c>
      <c r="M8" s="15" t="inlineStr"/>
      <c r="N8" s="15" t="inlineStr">
        <is>
          <t>hold_firm</t>
        </is>
      </c>
      <c r="O8" s="15" t="inlineStr">
        <is>
          <t>15.1 Buyer may terminate all or any part of this Contract for convenience by written notice to Seller. Seller shall immediately stop all terminated work and mitigate termination settlement costs.</t>
        </is>
      </c>
      <c r="P8" s="15" t="inlineStr">
        <is>
          <t>Auto-Verified (No Redline)</t>
        </is>
      </c>
      <c r="Q8" s="15" t="inlineStr">
        <is>
          <t>Clause matches Boeing Proforma GP1/SP baseline with zero Track Changes.</t>
        </is>
      </c>
    </row>
    <row r="9" ht="48" customHeight="1">
      <c r="A9" s="17" t="inlineStr">
        <is>
          <t>GP1-19</t>
        </is>
      </c>
      <c r="B9" s="18" t="inlineStr">
        <is>
          <t>GP1</t>
        </is>
      </c>
      <c r="C9" s="18" t="inlineStr">
        <is>
          <t>GP1 §19 &amp; §24</t>
        </is>
      </c>
      <c r="D9" s="18" t="inlineStr">
        <is>
          <t>Limitation of Liability &amp; IP Indemnity</t>
        </is>
      </c>
      <c r="E9" s="17" t="inlineStr">
        <is>
          <t>LEGAL</t>
        </is>
      </c>
      <c r="F9" s="18" t="inlineStr">
        <is>
          <t>YES</t>
        </is>
      </c>
      <c r="G9" s="19" t="inlineStr">
        <is>
          <t>APPROVED</t>
        </is>
      </c>
      <c r="H9" s="18" t="inlineStr">
        <is>
          <t>Corporate Legal &amp; IP</t>
        </is>
      </c>
      <c r="I9" s="21" t="inlineStr">
        <is>
          <t>CRITICAL</t>
        </is>
      </c>
      <c r="J9" s="18" t="inlineStr">
        <is>
          <t>Corporate Legal Playbook Tier-1</t>
        </is>
      </c>
      <c r="K9" s="18" t="inlineStr">
        <is>
          <t>19.1 Seller's liability for direct damages, line-stoppage, and airworthiness recall costs shall be uncapped. 24.1 Seller shall indemnify Boeing against all third-party intellectual property infringement claims including system-level avionics bus integration.</t>
        </is>
      </c>
      <c r="L9" s="18" t="inlineStr">
        <is>
          <t>19.1 Seller's liability for direct damages, line-stoppage, and airworthiness recall costs shall not exceed one hundred percent (100%) of the total Purchase Order value ($45M). 24.1 Seller shall indemnify Boeing against all third-party intellectual property infringement claims except where such claim arises from combination of Goods with any Boeing or third-party flight control bus.</t>
        </is>
      </c>
      <c r="M9" s="18" t="inlineStr">
        <is>
          <t>Apex AeroSystems Legal: Board risk policy requires a 1x PO liability cap ($45M) and standard commercial carveout for system-combination IP claims.</t>
        </is>
      </c>
      <c r="N9" s="18" t="inlineStr">
        <is>
          <t>compromise_tier_1</t>
        </is>
      </c>
      <c r="O9" s="18" t="inlineStr">
        <is>
          <t>19.1 (a) Direct, Line-Stoppage &amp; Airworthiness Recall Liability: Seller's liability for general direct damages and final assembly line-stoppage shall be capped at two hundred percent (200%) of the total Purchase Order value ($90M), provided that liability for Fleet Airworthiness Directive (`AD`) recall, gross negligence, willful misconduct, and §24 IP indemnification shall remain strictly uncapped. 24.1 (b) Intellectual Property Indemnification: Seller shall defend, indemnify, and hold harmless Cymbal Aerospace and its airline customers against all third-party intellectual property infringement claims including system-level avionics bus integration, except where such claim arises solely from Cymbal Aerospace's proprietary flight control bus specifications.</t>
        </is>
      </c>
      <c r="P9" s="18" t="inlineStr">
        <is>
          <t>Elena Rostova, J.D. (Senior Counsel, Commercial &amp; IP)</t>
        </is>
      </c>
      <c r="Q9" s="18" t="inlineStr">
        <is>
          <t>Applied Playbook Tier-1 Compromise (69% historical precedent across 11/16 Tier-1 avionics deals): 2x PO ($90M) super-cap on general direct damages while holding uncapped liability for airworthiness recall and IP indemnity, narrowing the IP carveout strictly to Cymbal Aerospace proprietary bus specifications.</t>
        </is>
      </c>
    </row>
    <row r="10" ht="48" customHeight="1">
      <c r="A10" s="14" t="inlineStr">
        <is>
          <t>GP1-28</t>
        </is>
      </c>
      <c r="B10" s="15" t="inlineStr">
        <is>
          <t>GP1</t>
        </is>
      </c>
      <c r="C10" s="15" t="inlineStr">
        <is>
          <t>GP1 §28.1</t>
        </is>
      </c>
      <c r="D10" s="15" t="inlineStr">
        <is>
          <t>Governing Law &amp; Dispute Resolution</t>
        </is>
      </c>
      <c r="E10" s="14" t="inlineStr">
        <is>
          <t>LEGAL</t>
        </is>
      </c>
      <c r="F10" s="15" t="inlineStr">
        <is>
          <t>NO</t>
        </is>
      </c>
      <c r="G10" s="16" t="inlineStr">
        <is>
          <t>UNTOUCHED</t>
        </is>
      </c>
      <c r="H10" s="15" t="inlineStr">
        <is>
          <t>Corporate Legal</t>
        </is>
      </c>
      <c r="I10" s="16" t="inlineStr">
        <is>
          <t>NONE</t>
        </is>
      </c>
      <c r="J10" s="15" t="inlineStr">
        <is>
          <t>Delaware / Washington Law Standard</t>
        </is>
      </c>
      <c r="K10" s="15" t="inlineStr">
        <is>
          <t>28.1 This Contract and all disputes arising hereunder shall be governed by and construed in accordance with the laws of the State of Delaware, excluding its conflict of laws rules.</t>
        </is>
      </c>
      <c r="L10" s="15" t="inlineStr">
        <is>
          <t>28.1 This Contract and all disputes arising hereunder shall be governed by and construed in accordance with the laws of the State of Delaware, excluding its conflict of laws rules.</t>
        </is>
      </c>
      <c r="M10" s="15" t="inlineStr"/>
      <c r="N10" s="15" t="inlineStr">
        <is>
          <t>hold_firm</t>
        </is>
      </c>
      <c r="O10" s="15" t="inlineStr">
        <is>
          <t>28.1 This Contract and all disputes arising hereunder shall be governed by and construed in accordance with the laws of the State of Delaware, excluding its conflict of laws rules.</t>
        </is>
      </c>
      <c r="P10" s="15" t="inlineStr">
        <is>
          <t>Auto-Verified (No Redline)</t>
        </is>
      </c>
      <c r="Q10" s="15" t="inlineStr">
        <is>
          <t>Clause matches Boeing Proforma GP1/SP baseline with zero Track Changes.</t>
        </is>
      </c>
    </row>
    <row r="11" ht="48" customHeight="1">
      <c r="A11" s="17" t="inlineStr">
        <is>
          <t>SP3-02</t>
        </is>
      </c>
      <c r="B11" s="18" t="inlineStr">
        <is>
          <t>SP3</t>
        </is>
      </c>
      <c r="C11" s="18" t="inlineStr">
        <is>
          <t>SP3 §2.1</t>
        </is>
      </c>
      <c r="D11" s="18" t="inlineStr">
        <is>
          <t>Export Compliance (ITAR &amp; EAR)</t>
        </is>
      </c>
      <c r="E11" s="17" t="inlineStr">
        <is>
          <t>TAX</t>
        </is>
      </c>
      <c r="F11" s="18" t="inlineStr">
        <is>
          <t>NO</t>
        </is>
      </c>
      <c r="G11" s="16" t="inlineStr">
        <is>
          <t>UNTOUCHED</t>
        </is>
      </c>
      <c r="H11" s="18" t="inlineStr">
        <is>
          <t>Global Trade Controls</t>
        </is>
      </c>
      <c r="I11" s="16" t="inlineStr">
        <is>
          <t>NONE</t>
        </is>
      </c>
      <c r="J11" s="18" t="inlineStr">
        <is>
          <t>22 CFR 120-130 (ITAR) / 15 CFR 730-774 (EAR)</t>
        </is>
      </c>
      <c r="K11" s="18" t="inlineStr">
        <is>
          <t>2.1 Seller shall comply with all applicable U.S. export control laws and regulations, including the International Traffic in Arms Regulations (ITAR) and Export Administration Regulations (EAR).</t>
        </is>
      </c>
      <c r="L11" s="18" t="inlineStr">
        <is>
          <t>2.1 Seller shall comply with all applicable U.S. export control laws and regulations, including the International Traffic in Arms Regulations (ITAR) and Export Administration Regulations (EAR).</t>
        </is>
      </c>
      <c r="M11" s="18" t="inlineStr"/>
      <c r="N11" s="18" t="inlineStr">
        <is>
          <t>hold_firm</t>
        </is>
      </c>
      <c r="O11" s="18" t="inlineStr">
        <is>
          <t>2.1 Seller shall comply with all applicable U.S. export control laws and regulations, including the International Traffic in Arms Regulations (ITAR) and Export Administration Regulations (EAR).</t>
        </is>
      </c>
      <c r="P11" s="18" t="inlineStr">
        <is>
          <t>Auto-Verified (No Redline)</t>
        </is>
      </c>
      <c r="Q11" s="18" t="inlineStr">
        <is>
          <t>Clause matches Boeing Proforma GP1/SP baseline with zero Track Changes.</t>
        </is>
      </c>
    </row>
    <row r="12" ht="48" customHeight="1">
      <c r="A12" s="14" t="inlineStr">
        <is>
          <t>SP3-04</t>
        </is>
      </c>
      <c r="B12" s="15" t="inlineStr">
        <is>
          <t>SP3</t>
        </is>
      </c>
      <c r="C12" s="15" t="inlineStr">
        <is>
          <t>SP3 §4.1</t>
        </is>
      </c>
      <c r="D12" s="15" t="inlineStr">
        <is>
          <t>Customs, Duties &amp; International Tariffs</t>
        </is>
      </c>
      <c r="E12" s="14" t="inlineStr">
        <is>
          <t>TAX</t>
        </is>
      </c>
      <c r="F12" s="15" t="inlineStr">
        <is>
          <t>YES</t>
        </is>
      </c>
      <c r="G12" s="19" t="inlineStr">
        <is>
          <t>APPROVED</t>
        </is>
      </c>
      <c r="H12" s="15" t="inlineStr">
        <is>
          <t>Global Tax &amp; Trade</t>
        </is>
      </c>
      <c r="I12" s="22" t="inlineStr">
        <is>
          <t>MOD</t>
        </is>
      </c>
      <c r="J12" s="15" t="inlineStr">
        <is>
          <t>Cross-Clause SOW §3.1 Dependency</t>
        </is>
      </c>
      <c r="K12" s="15" t="inlineStr">
        <is>
          <t>4.1 All unit prices are DDP (Incoterms 2020) Boeing Everett/Renton facility and inclusive of all import duties, customs fees, and tariffs.</t>
        </is>
      </c>
      <c r="L12" s="15" t="inlineStr">
        <is>
          <t>4.1 All unit prices are exclusive of any new or increased Section 232/301 tariffs on titanium forgings or semiconductor wafers exceeding five percent (5%), which shall be passed through 100% to Boeing.</t>
        </is>
      </c>
      <c r="M12" s="15" t="inlineStr">
        <is>
          <t>Apex AeroSystems Tax: Due to volatile Section 232/301 duties on European titanium and Taiwanese wafers, Seller requires 100% pass-through of tariff increases above 5%.</t>
        </is>
      </c>
      <c r="N12" s="15" t="inlineStr">
        <is>
          <t>custom_harmonized</t>
        </is>
      </c>
      <c r="O12" s="15"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DDP (Incoterms 2020) Cymbal Aerospace Everett/Renton facility. Any verified new Section 232/301 tariff increase exceeding 5.0% on raw titanium forgings or semiconductor wafers shall be shared 50/50 between Cymbal Aerospace and Seller, strictly capped at a maximum aggregate adjustment of 2.0% of the GP1 §3.1 Firm-Fixed-Price SOW unit price.</t>
        </is>
      </c>
      <c r="P12" s="15" t="inlineStr">
        <is>
          <t>Lead Contract Owner (M. Vance)</t>
        </is>
      </c>
      <c r="Q12" s="15" t="inlineStr">
        <is>
          <t>Harmonized CONFLICT-SP3-04-GP1-03 across TAX (SP3-04) and PROCUREMENT (GP1-03): applied Playbook harmonized resolution (custom_harmonized) preserving GP1-03 guardrails.</t>
        </is>
      </c>
    </row>
    <row r="13" ht="48" customHeight="1">
      <c r="A13" s="17" t="inlineStr">
        <is>
          <t>SP5-03</t>
        </is>
      </c>
      <c r="B13" s="18" t="inlineStr">
        <is>
          <t>SP5</t>
        </is>
      </c>
      <c r="C13" s="18" t="inlineStr">
        <is>
          <t>SP5 §3.2</t>
        </is>
      </c>
      <c r="D13" s="18" t="inlineStr">
        <is>
          <t>Cybersecurity Incident Reporting (DFARS)</t>
        </is>
      </c>
      <c r="E13" s="17" t="inlineStr">
        <is>
          <t>CYBER</t>
        </is>
      </c>
      <c r="F13" s="18" t="inlineStr">
        <is>
          <t>YES</t>
        </is>
      </c>
      <c r="G13" s="19" t="inlineStr">
        <is>
          <t>APPROVED</t>
        </is>
      </c>
      <c r="H13" s="18" t="inlineStr">
        <is>
          <t>Supplier Cyber Defense</t>
        </is>
      </c>
      <c r="I13" s="20" t="inlineStr">
        <is>
          <t>HIGH</t>
        </is>
      </c>
      <c r="J13" s="18" t="inlineStr">
        <is>
          <t>DFARS 252.204-7012 Lockout</t>
        </is>
      </c>
      <c r="K13" s="18" t="inlineStr">
        <is>
          <t>3.2 Seller shall maintain NIST SP 800-171 controls and report any cybersecurity incident affecting Boeing Covered Defense Information or technical data within seventy-two (72) hours of discovery, and provide forensic log images upon request.</t>
        </is>
      </c>
      <c r="L13" s="18" t="inlineStr">
        <is>
          <t>3.2 Seller shall maintain NIST SP 800-171 controls and report any cybersecurity incident affecting Boeing Covered Defense Information or technical data within ten (10) business days following confirmation of a material breach, and provide forensic log images upon request.</t>
        </is>
      </c>
      <c r="M13" s="18" t="inlineStr">
        <is>
          <t>Apex AeroSystems CISO: Our SOC requires 10 business days to validate root-cause forensics before external customer notification.</t>
        </is>
      </c>
      <c r="N13" s="18" t="inlineStr">
        <is>
          <t>hold_firm</t>
        </is>
      </c>
      <c r="O13" s="18"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seventy-two (72) hours of discovery, preserve affected system media for ninety (90) days, and provide raw forensic log images and malware telemetry upon request.</t>
        </is>
      </c>
      <c r="P13" s="18" t="inlineStr">
        <is>
          <t>Lead Contract Owner (M. Vance)</t>
        </is>
      </c>
      <c r="Q13" s="18" t="inlineStr">
        <is>
          <t>Harmonized LOCKOUT-SP5-03-DFARS across CYBER (SP5-03) and CYBER (SP5-03): applied Playbook harmonized resolution (hold_firm) preserving SP5-03 guardrails.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showGridLines="1" workbookViewId="0">
      <selection activeCell="A1" sqref="A1"/>
    </sheetView>
  </sheetViews>
  <sheetFormatPr baseColWidth="8" defaultRowHeight="15"/>
  <cols>
    <col width="26" customWidth="1" min="1" max="1"/>
    <col width="24" customWidth="1" min="2" max="2"/>
    <col width="22" customWidth="1" min="3" max="3"/>
    <col width="22" customWidth="1" min="4" max="4"/>
    <col width="18" customWidth="1" min="5" max="5"/>
    <col width="32" customWidth="1" min="6" max="6"/>
    <col width="36" customWidth="1" min="7" max="7"/>
    <col width="48" customWidth="1" min="8" max="8"/>
    <col width="24" customWidth="1" min="9" max="9"/>
    <col width="52" customWidth="1" min="10" max="10"/>
  </cols>
  <sheetData>
    <row r="1" ht="24" customHeight="1">
      <c r="A1" s="13" t="inlineStr">
        <is>
          <t>Rule ID</t>
        </is>
      </c>
      <c r="B1" s="13" t="inlineStr">
        <is>
          <t>Rule Type</t>
        </is>
      </c>
      <c r="C1" s="13" t="inlineStr">
        <is>
          <t>Source Clause</t>
        </is>
      </c>
      <c r="D1" s="13" t="inlineStr">
        <is>
          <t>Target Clause</t>
        </is>
      </c>
      <c r="E1" s="13" t="inlineStr">
        <is>
          <t>Severity</t>
        </is>
      </c>
      <c r="F1" s="13" t="inlineStr">
        <is>
          <t>Conflict Title</t>
        </is>
      </c>
      <c r="G1" s="13" t="inlineStr">
        <is>
          <t>Description</t>
        </is>
      </c>
      <c r="H1" s="13" t="inlineStr">
        <is>
          <t>Harmonized Resolution</t>
        </is>
      </c>
    </row>
    <row r="21">
      <c r="A21" s="23" t="inlineStr">
        <is>
          <t>Immutable Governance Audit Trail</t>
        </is>
      </c>
    </row>
    <row r="22" ht="24" customHeight="1">
      <c r="A22" s="2" t="inlineStr">
        <is>
          <t>Event ID</t>
        </is>
      </c>
      <c r="B22" s="2" t="inlineStr">
        <is>
          <t>Created At (UTC)</t>
        </is>
      </c>
      <c r="C22" s="2" t="inlineStr">
        <is>
          <t>Deal ID</t>
        </is>
      </c>
      <c r="D22" s="2" t="inlineStr">
        <is>
          <t>Clause ID</t>
        </is>
      </c>
      <c r="E22" s="2" t="inlineStr">
        <is>
          <t>SME Team</t>
        </is>
      </c>
      <c r="F22" s="2" t="inlineStr">
        <is>
          <t>Actor</t>
        </is>
      </c>
      <c r="G22" s="2" t="inlineStr">
        <is>
          <t>Action</t>
        </is>
      </c>
      <c r="H22" s="2" t="inlineStr">
        <is>
          <t>Selected Option Key</t>
        </is>
      </c>
      <c r="I22" s="2" t="inlineStr">
        <is>
          <t>Source Surface</t>
        </is>
      </c>
      <c r="J22" s="2" t="inlineStr">
        <is>
          <t>Rationale</t>
        </is>
      </c>
    </row>
    <row r="23" ht="32" customHeight="1">
      <c r="A23" s="18" t="inlineStr">
        <is>
          <t>EVT-3858F13A</t>
        </is>
      </c>
      <c r="B23" s="18" t="inlineStr">
        <is>
          <t>2026-10-28T04:07:31.289702+00:00</t>
        </is>
      </c>
      <c r="C23" s="18" t="inlineStr">
        <is>
          <t>BA-2026-AV-8921</t>
        </is>
      </c>
      <c r="D23" s="18" t="inlineStr">
        <is>
          <t>SP3-04</t>
        </is>
      </c>
      <c r="E23" s="18" t="inlineStr">
        <is>
          <t>TAX</t>
        </is>
      </c>
      <c r="F23" s="18" t="inlineStr">
        <is>
          <t>Lead Contract Owner (M. Vance)</t>
        </is>
      </c>
      <c r="G23" s="18" t="inlineStr">
        <is>
          <t>CONFLICT_HARMONIZED</t>
        </is>
      </c>
      <c r="H23" s="18" t="inlineStr">
        <is>
          <t>custom_harmonized</t>
        </is>
      </c>
      <c r="I23" s="18" t="inlineStr">
        <is>
          <t>GEMINI_AGENT_MCP</t>
        </is>
      </c>
      <c r="J23" s="18" t="inlineStr">
        <is>
          <t>Harmonized CONFLICT-SP3-04-GP1-03 across TAX (SP3-04) and PROCUREMENT (GP1-03): applied Playbook harmonized resolution (custom_harmonized) preserving GP1-03 guardrails.</t>
        </is>
      </c>
    </row>
    <row r="24" ht="32" customHeight="1">
      <c r="A24" s="15" t="inlineStr">
        <is>
          <t>EVT-915DC062</t>
        </is>
      </c>
      <c r="B24" s="15" t="inlineStr">
        <is>
          <t>2026-10-28T04:07:21.428139+00:00</t>
        </is>
      </c>
      <c r="C24" s="15" t="inlineStr">
        <is>
          <t>BA-2026-AV-8921</t>
        </is>
      </c>
      <c r="D24" s="15" t="inlineStr">
        <is>
          <t>SP3-04</t>
        </is>
      </c>
      <c r="E24" s="15" t="inlineStr">
        <is>
          <t>TAX</t>
        </is>
      </c>
      <c r="F24" s="15" t="inlineStr">
        <is>
          <t>Marcus Chen, CPA (Director, Global Tax &amp; Trade)</t>
        </is>
      </c>
      <c r="G24" s="15" t="inlineStr">
        <is>
          <t>CONFLICT_TRIGGERED</t>
        </is>
      </c>
      <c r="H24" s="15" t="inlineStr">
        <is>
          <t>accept_vendor</t>
        </is>
      </c>
      <c r="I24" s="15" t="inlineStr">
        <is>
          <t>GEMINI_AGENT_MCP</t>
        </is>
      </c>
      <c r="J24" s="15" t="inlineStr">
        <is>
          <t>Accepting uncapped &gt;5% tariff pass-through to expedite delivery.</t>
        </is>
      </c>
    </row>
    <row r="25" ht="32" customHeight="1">
      <c r="A25" s="18" t="inlineStr">
        <is>
          <t>EVT-EDC85FDA</t>
        </is>
      </c>
      <c r="B25" s="18" t="inlineStr">
        <is>
          <t>2026-10-28T04:07:13.853667+00:00</t>
        </is>
      </c>
      <c r="C25" s="18" t="inlineStr">
        <is>
          <t>BA-2026-AV-8921</t>
        </is>
      </c>
      <c r="D25" s="18" t="inlineStr">
        <is>
          <t>SP5-03</t>
        </is>
      </c>
      <c r="E25" s="18" t="inlineStr">
        <is>
          <t>CYBER</t>
        </is>
      </c>
      <c r="F25" s="18" t="inlineStr">
        <is>
          <t>Lead Contract Owner (M. Vance)</t>
        </is>
      </c>
      <c r="G25" s="18" t="inlineStr">
        <is>
          <t>CONFLICT_HARMONIZED</t>
        </is>
      </c>
      <c r="H25" s="18" t="inlineStr">
        <is>
          <t>hold_firm</t>
        </is>
      </c>
      <c r="I25" s="18" t="inlineStr">
        <is>
          <t>GEMINI_AGENT_MCP</t>
        </is>
      </c>
      <c r="J25" s="18" t="inlineStr">
        <is>
          <t>Harmonized LOCKOUT-SP5-03-DFARS across CYBER (SP5-03) and CYBER (SP5-03): applied Playbook harmonized resolution (hold_firm) preserving SP5-03 guardrails.</t>
        </is>
      </c>
    </row>
    <row r="26" ht="32" customHeight="1">
      <c r="A26" s="15" t="inlineStr">
        <is>
          <t>EVT-5CEE1E79</t>
        </is>
      </c>
      <c r="B26" s="15" t="inlineStr">
        <is>
          <t>2026-10-28T04:07:02.010819+00:00</t>
        </is>
      </c>
      <c r="C26" s="15" t="inlineStr">
        <is>
          <t>BA-2026-AV-8921</t>
        </is>
      </c>
      <c r="D26" s="15" t="inlineStr">
        <is>
          <t>GP1-12</t>
        </is>
      </c>
      <c r="E26" s="15" t="inlineStr">
        <is>
          <t>ENGINEERING</t>
        </is>
      </c>
      <c r="F26" s="15" t="inlineStr">
        <is>
          <t>Lead Contract Owner (M. Vance)</t>
        </is>
      </c>
      <c r="G26" s="15" t="inlineStr">
        <is>
          <t>CONFLICT_HARMONIZED</t>
        </is>
      </c>
      <c r="H26" s="15" t="inlineStr">
        <is>
          <t>hold_firm</t>
        </is>
      </c>
      <c r="I26" s="15" t="inlineStr">
        <is>
          <t>GEMINI_AGENT_MCP</t>
        </is>
      </c>
      <c r="J26" s="15" t="inlineStr">
        <is>
          <t>Harmonized LOCKOUT-GP1-12-FAA across ENGINEERING (GP1-12) and ENGINEERING (GP1-12): applied Playbook harmonized resolution (hold_firm) preserving GP1-12 guardrails.</t>
        </is>
      </c>
    </row>
    <row r="27" ht="32" customHeight="1">
      <c r="A27" s="18" t="inlineStr">
        <is>
          <t>EVT-EBC32F11</t>
        </is>
      </c>
      <c r="B27" s="18" t="inlineStr">
        <is>
          <t>2026-10-28T04:06:52.560277+00:00</t>
        </is>
      </c>
      <c r="C27" s="18" t="inlineStr">
        <is>
          <t>BA-2026-AV-8921</t>
        </is>
      </c>
      <c r="D27" s="18" t="inlineStr">
        <is>
          <t>SP5-03</t>
        </is>
      </c>
      <c r="E27" s="18" t="inlineStr">
        <is>
          <t>CYBER</t>
        </is>
      </c>
      <c r="F27" s="18" t="inlineStr">
        <is>
          <t>Adversarial Tester (Cyber)</t>
        </is>
      </c>
      <c r="G27" s="18" t="inlineStr">
        <is>
          <t>CONFLICT_TRIGGERED</t>
        </is>
      </c>
      <c r="H27" s="18" t="inlineStr">
        <is>
          <t>accept_vendor</t>
        </is>
      </c>
      <c r="I27" s="18" t="inlineStr">
        <is>
          <t>GEMINI_AGENT_MCP</t>
        </is>
      </c>
      <c r="J27" s="18" t="inlineStr">
        <is>
          <t>Attempting to accept 10 business day cyber reporting window.</t>
        </is>
      </c>
    </row>
    <row r="28" ht="32" customHeight="1">
      <c r="A28" s="15" t="inlineStr">
        <is>
          <t>EVT-880D7540</t>
        </is>
      </c>
      <c r="B28" s="15" t="inlineStr">
        <is>
          <t>2026-10-28T04:06:44.366674+00:00</t>
        </is>
      </c>
      <c r="C28" s="15" t="inlineStr">
        <is>
          <t>BA-2026-AV-8921</t>
        </is>
      </c>
      <c r="D28" s="15" t="inlineStr">
        <is>
          <t>GP1-12</t>
        </is>
      </c>
      <c r="E28" s="15" t="inlineStr">
        <is>
          <t>ENGINEERING</t>
        </is>
      </c>
      <c r="F28" s="15" t="inlineStr">
        <is>
          <t>Adversarial Tester (Engineering)</t>
        </is>
      </c>
      <c r="G28" s="15" t="inlineStr">
        <is>
          <t>CONFLICT_TRIGGERED</t>
        </is>
      </c>
      <c r="H28" s="15" t="inlineStr">
        <is>
          <t>accept_vendor</t>
        </is>
      </c>
      <c r="I28" s="15" t="inlineStr">
        <is>
          <t>GEMINI_AGENT_MCP</t>
        </is>
      </c>
      <c r="J28" s="15" t="inlineStr">
        <is>
          <t>Attempting to accept 12-month warranty and 30-day scheduled inspection notice.</t>
        </is>
      </c>
    </row>
    <row r="29" ht="32" customHeight="1">
      <c r="A29" s="18" t="inlineStr">
        <is>
          <t>EVT-B1DCD890</t>
        </is>
      </c>
      <c r="B29" s="18" t="inlineStr">
        <is>
          <t>2026-10-28T04:06:35.602301+00:00</t>
        </is>
      </c>
      <c r="C29" s="18" t="inlineStr">
        <is>
          <t>BA-2026-AV-8921</t>
        </is>
      </c>
      <c r="D29" s="18" t="inlineStr">
        <is>
          <t>ALL</t>
        </is>
      </c>
      <c r="E29" s="18" t="inlineStr">
        <is>
          <t>PROCUREMENT</t>
        </is>
      </c>
      <c r="F29" s="18" t="inlineStr">
        <is>
          <t>Lead Contract Owner (M. Vance)</t>
        </is>
      </c>
      <c r="G29" s="18" t="inlineStr">
        <is>
          <t>INGESTED_REDLINE</t>
        </is>
      </c>
      <c r="H29" s="18" t="inlineStr">
        <is>
          <t>hold_firm</t>
        </is>
      </c>
      <c r="I29" s="18" t="inlineStr">
        <is>
          <t>GEMINI_AGENT_MCP</t>
        </is>
      </c>
      <c r="J29" s="18" t="inlineStr">
        <is>
          <t>Deterministic OOXML Track Changes extraction persisted to BigQuery deal_clause_deviations.</t>
        </is>
      </c>
    </row>
    <row r="30" ht="32" customHeight="1">
      <c r="A30" s="15" t="inlineStr">
        <is>
          <t>EVT-8921-005</t>
        </is>
      </c>
      <c r="B30" s="15" t="inlineStr">
        <is>
          <t>2026-10-28T04:04:26.616643+00:00</t>
        </is>
      </c>
      <c r="C30" s="15" t="inlineStr">
        <is>
          <t>BA-2026-AV-8921</t>
        </is>
      </c>
      <c r="D30" s="15" t="inlineStr">
        <is>
          <t>SP5-03</t>
        </is>
      </c>
      <c r="E30" s="15" t="inlineStr">
        <is>
          <t>CYBER</t>
        </is>
      </c>
      <c r="F30" s="15" t="inlineStr">
        <is>
          <t>Capt. Devon Brooks (Lead, Supplier Cyber Defense)</t>
        </is>
      </c>
      <c r="G30" s="15" t="inlineStr">
        <is>
          <t>SME_APPROVED</t>
        </is>
      </c>
      <c r="H30" s="15" t="inlineStr">
        <is>
          <t>hold_firm</t>
        </is>
      </c>
      <c r="I30" s="15" t="inlineStr">
        <is>
          <t>EXPERIENCE_LAYER_UI</t>
        </is>
      </c>
      <c r="J30" s="15" t="inlineStr">
        <is>
          <t>Held firm on 72-hour incident notification. DFARS 252.204-7012 and NIST SP 800-171 impose a non-negotiable 72-hour DoD reporting window (94% held firm across 15/16 historical contracts).</t>
        </is>
      </c>
    </row>
    <row r="31" ht="32" customHeight="1">
      <c r="A31" s="18" t="inlineStr">
        <is>
          <t>EVT-8921-004</t>
        </is>
      </c>
      <c r="B31" s="18" t="inlineStr">
        <is>
          <t>2026-10-28T04:00:26.616643+00:00</t>
        </is>
      </c>
      <c r="C31" s="18" t="inlineStr">
        <is>
          <t>BA-2026-AV-8921</t>
        </is>
      </c>
      <c r="D31" s="18" t="inlineStr">
        <is>
          <t>SP3-04</t>
        </is>
      </c>
      <c r="E31" s="18" t="inlineStr">
        <is>
          <t>TAX</t>
        </is>
      </c>
      <c r="F31" s="18" t="inlineStr">
        <is>
          <t>Marcus Chen, CPA (Director, Global Tax &amp; Trade)</t>
        </is>
      </c>
      <c r="G31" s="18" t="inlineStr">
        <is>
          <t>CONFLICT_TRIGGERED</t>
        </is>
      </c>
      <c r="H31" s="18" t="inlineStr">
        <is>
          <t>accept_vendor</t>
        </is>
      </c>
      <c r="I31" s="18" t="inlineStr">
        <is>
          <t>GEMINI_AGENT_MCP</t>
        </is>
      </c>
      <c r="J31" s="18" t="inlineStr">
        <is>
          <t>Accepted vendor &gt;5% Section 232/301 titanium and wafer tariff pass-through to avoid Q3 avionics delivery delay, pending Procurement verification against SOW cap.</t>
        </is>
      </c>
    </row>
    <row r="32" ht="32" customHeight="1">
      <c r="A32" s="15" t="inlineStr">
        <is>
          <t>EVT-8921-003</t>
        </is>
      </c>
      <c r="B32" s="15" t="inlineStr">
        <is>
          <t>2026-10-28T03:56:26.616643+00:00</t>
        </is>
      </c>
      <c r="C32" s="15" t="inlineStr">
        <is>
          <t>BA-2026-AV-8921</t>
        </is>
      </c>
      <c r="D32" s="15" t="inlineStr">
        <is>
          <t>GP1-19</t>
        </is>
      </c>
      <c r="E32" s="15" t="inlineStr">
        <is>
          <t>LEGAL</t>
        </is>
      </c>
      <c r="F32" s="15" t="inlineStr">
        <is>
          <t>Elena Rostova, J.D. (Senior Counsel, Commercial &amp; IP)</t>
        </is>
      </c>
      <c r="G32" s="15" t="inlineStr">
        <is>
          <t>SME_APPROVED</t>
        </is>
      </c>
      <c r="H32" s="15" t="inlineStr">
        <is>
          <t>compromise_tier_1</t>
        </is>
      </c>
      <c r="I32" s="15" t="inlineStr">
        <is>
          <t>EXPERIENCE_LAYER_UI</t>
        </is>
      </c>
      <c r="J32" s="15" t="inlineStr">
        <is>
          <t>Applied Playbook Tier-1 Compromise (69% historical precedent across 11/16 Tier-1 avionics deals): 2x PO ($90M) super-cap on general direct damages while holding uncapped liability for airworthiness recall and IP indemnity, narrowing the IP carveout strictly to Cymbal Aerospace proprietary bus specifications.</t>
        </is>
      </c>
    </row>
    <row r="33" ht="32" customHeight="1">
      <c r="A33" s="18" t="inlineStr">
        <is>
          <t>EVT-8921-002</t>
        </is>
      </c>
      <c r="B33" s="18" t="inlineStr">
        <is>
          <t>2026-10-28T03:52:26.616643+00:00</t>
        </is>
      </c>
      <c r="C33" s="18" t="inlineStr">
        <is>
          <t>BA-2026-AV-8921</t>
        </is>
      </c>
      <c r="D33" s="18" t="inlineStr">
        <is>
          <t>GP1-12</t>
        </is>
      </c>
      <c r="E33" s="18" t="inlineStr">
        <is>
          <t>ENGINEERING</t>
        </is>
      </c>
      <c r="F33" s="18" t="inlineStr">
        <is>
          <t>Dr. Aris Thorne (Principal FAA DER, Flight Controls QA)</t>
        </is>
      </c>
      <c r="G33" s="18" t="inlineStr">
        <is>
          <t>SME_APPROVED</t>
        </is>
      </c>
      <c r="H33" s="18" t="inlineStr">
        <is>
          <t>hold_firm</t>
        </is>
      </c>
      <c r="I33" s="18" t="inlineStr">
        <is>
          <t>EXPERIENCE_LAYER_UI</t>
        </is>
      </c>
      <c r="J33" s="18" t="inlineStr">
        <is>
          <t>Rejected vendor 12-month warranty and 30-day inspection notice. FAA 14 CFR Part 21.140 and AS9100 Rev D mandate unannounced source inspection access at all times. Precedent shows 88% (14/16) held firm.</t>
        </is>
      </c>
    </row>
    <row r="34" ht="32" customHeight="1">
      <c r="A34" s="15" t="inlineStr">
        <is>
          <t>EVT-8921-001</t>
        </is>
      </c>
      <c r="B34" s="15" t="inlineStr">
        <is>
          <t>2026-10-28T03:41:26.616643+00:00</t>
        </is>
      </c>
      <c r="C34" s="15" t="inlineStr">
        <is>
          <t>BA-2026-AV-8921</t>
        </is>
      </c>
      <c r="D34" s="15" t="inlineStr">
        <is>
          <t>ALL</t>
        </is>
      </c>
      <c r="E34" s="15" t="inlineStr">
        <is>
          <t>PROCUREMENT</t>
        </is>
      </c>
      <c r="F34" s="15" t="inlineStr">
        <is>
          <t>Lead Contract Owner (M. Vance)</t>
        </is>
      </c>
      <c r="G34" s="15" t="inlineStr">
        <is>
          <t>INGESTED_REDLINE</t>
        </is>
      </c>
      <c r="H34" s="15" t="inlineStr">
        <is>
          <t>hold_firm</t>
        </is>
      </c>
      <c r="I34" s="15" t="inlineStr">
        <is>
          <t>GEMINI_AGENT_MCP</t>
        </is>
      </c>
      <c r="J34" s="15" t="inlineStr">
        <is>
          <t>Deterministic OOXML Track Changes extraction completed against Cymbal_GP1_Standard.docx.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1"/>
  <sheetViews>
    <sheetView showGridLines="1" workbookViewId="0">
      <selection activeCell="A1" sqref="A1"/>
    </sheetView>
  </sheetViews>
  <sheetFormatPr baseColWidth="8" defaultRowHeight="15"/>
  <cols>
    <col width="14" customWidth="1" min="1" max="1"/>
    <col width="16" customWidth="1" min="2" max="2"/>
    <col width="14" customWidth="1" min="3" max="3"/>
    <col width="22" customWidth="1" min="4" max="4"/>
    <col width="16" customWidth="1" min="5" max="5"/>
    <col width="20" customWidth="1" min="6" max="6"/>
    <col width="20" customWidth="1" min="7" max="7"/>
    <col width="22" customWidth="1" min="8" max="8"/>
    <col width="14" customWidth="1" min="9" max="9"/>
    <col width="18" customWidth="1" min="10" max="10"/>
    <col width="16" customWidth="1" min="11" max="11"/>
    <col width="22" customWidth="1" min="12" max="12"/>
    <col width="22" customWidth="1" min="13" max="13"/>
    <col width="24" customWidth="1" min="14" max="14"/>
    <col width="18" customWidth="1" min="15" max="15"/>
    <col width="22" customWidth="1" min="16" max="16"/>
    <col width="18" customWidth="1" min="17" max="17"/>
    <col width="16" customWidth="1" min="18" max="18"/>
    <col width="24" customWidth="1" min="19" max="19"/>
    <col width="14" customWidth="1" min="20" max="20"/>
    <col width="48" customWidth="1" min="21" max="21"/>
    <col width="44" customWidth="1" min="22" max="22"/>
  </cols>
  <sheetData>
    <row r="1" ht="24" customHeight="1">
      <c r="A1" s="13" t="inlineStr">
        <is>
          <t>Clause ID</t>
        </is>
      </c>
      <c r="B1" s="13" t="inlineStr">
        <is>
          <t>Section Ref</t>
        </is>
      </c>
      <c r="C1" s="13" t="inlineStr">
        <is>
          <t>SME Team</t>
        </is>
      </c>
      <c r="D1" s="13" t="inlineStr">
        <is>
          <t>Regulatory Lockout</t>
        </is>
      </c>
      <c r="E1" s="13" t="inlineStr">
        <is>
          <t>Held Firm Count</t>
        </is>
      </c>
      <c r="F1" s="13" t="inlineStr">
        <is>
          <t>Compromise Tier-1 Count</t>
        </is>
      </c>
      <c r="G1" s="13" t="inlineStr">
        <is>
          <t>Accepted Vendor Count</t>
        </is>
      </c>
      <c r="H1" s="13" t="inlineStr">
        <is>
          <t>Total Matched Precedents</t>
        </is>
      </c>
      <c r="I1" s="13" t="inlineStr">
        <is>
          <t>Held Firm %</t>
        </is>
      </c>
      <c r="J1" s="13" t="inlineStr">
        <is>
          <t>Compromise Tier-1 %</t>
        </is>
      </c>
      <c r="K1" s="13" t="inlineStr">
        <is>
          <t>Accepted Vendor %</t>
        </is>
      </c>
      <c r="L1" s="13" t="inlineStr">
        <is>
          <t>Precedent Exception ID</t>
        </is>
      </c>
      <c r="M1" s="13" t="inlineStr">
        <is>
          <t>Historical Contract ID</t>
        </is>
      </c>
      <c r="N1" s="13" t="inlineStr">
        <is>
          <t>Supplier Name</t>
        </is>
      </c>
      <c r="O1" s="13" t="inlineStr">
        <is>
          <t>Supplier Tier</t>
        </is>
      </c>
      <c r="P1" s="13" t="inlineStr">
        <is>
          <t>Boeing Program</t>
        </is>
      </c>
      <c r="Q1" s="13" t="inlineStr">
        <is>
          <t>Outcome Category</t>
        </is>
      </c>
      <c r="R1" s="13" t="inlineStr">
        <is>
          <t>Similarity Score</t>
        </is>
      </c>
      <c r="S1" s="13" t="inlineStr">
        <is>
          <t>Approval Authority</t>
        </is>
      </c>
      <c r="T1" s="13" t="inlineStr">
        <is>
          <t>Signed Date</t>
        </is>
      </c>
      <c r="U1" s="13" t="inlineStr">
        <is>
          <t>Final Agreed Language</t>
        </is>
      </c>
      <c r="V1" s="13" t="inlineStr">
        <is>
          <t>Negotiation Notes</t>
        </is>
      </c>
    </row>
    <row r="2" ht="42" customHeight="1">
      <c r="A2" s="15" t="inlineStr">
        <is>
          <t>GP1-12</t>
        </is>
      </c>
      <c r="B2" s="15" t="inlineStr">
        <is>
          <t>GP1 §12.2</t>
        </is>
      </c>
      <c r="C2" s="15" t="inlineStr">
        <is>
          <t>ENGINEERING</t>
        </is>
      </c>
      <c r="D2" s="15" t="inlineStr">
        <is>
          <t>LOCKED</t>
        </is>
      </c>
      <c r="E2" s="24" t="n">
        <v>14</v>
      </c>
      <c r="F2" s="24" t="n">
        <v>2</v>
      </c>
      <c r="G2" s="24" t="n">
        <v>0</v>
      </c>
      <c r="H2" s="25">
        <f>SUM(E2:G2)</f>
        <v/>
      </c>
      <c r="I2" s="26">
        <f>IF(H2&gt;0,E2/H2,0)</f>
        <v/>
      </c>
      <c r="J2" s="26">
        <f>IF(H2&gt;0,F2/H2,0)</f>
        <v/>
      </c>
      <c r="K2" s="26">
        <f>IF(H2&gt;0,G2/H2,0)</f>
        <v/>
      </c>
      <c r="L2" s="15" t="inlineStr">
        <is>
          <t>EXC-GP1-12-08</t>
        </is>
      </c>
      <c r="M2" s="15" t="inlineStr">
        <is>
          <t>BA-2024-AV-2490</t>
        </is>
      </c>
      <c r="N2" s="15" t="inlineStr">
        <is>
          <t>L3Harris Avionics</t>
        </is>
      </c>
      <c r="O2" s="15" t="inlineStr">
        <is>
          <t>Tier-1 Avionics</t>
        </is>
      </c>
      <c r="P2" s="15" t="inlineStr">
        <is>
          <t>BDS</t>
        </is>
      </c>
      <c r="Q2" s="15" t="inlineStr">
        <is>
          <t>HELD_FIRM</t>
        </is>
      </c>
      <c r="R2" s="27" t="n">
        <v>0.8723</v>
      </c>
      <c r="S2" s="15" t="inlineStr">
        <is>
          <t>BDS Quality Director</t>
        </is>
      </c>
      <c r="T2" s="15" t="inlineStr">
        <is>
          <t>2024-07-11</t>
        </is>
      </c>
      <c r="U2" s="15" t="inlineStr">
        <is>
          <t>36-month warranty from delivery; unannounced FAA and Cymbal Aerospace source inspections at any time.</t>
        </is>
      </c>
      <c r="V2" s="15" t="inlineStr">
        <is>
          <t>Mandatory FAA and DCMA unannounced audit flowdown preserved.</t>
        </is>
      </c>
    </row>
    <row r="3" ht="42" customHeight="1">
      <c r="A3" s="18" t="inlineStr">
        <is>
          <t>GP1-12</t>
        </is>
      </c>
      <c r="B3" s="18" t="inlineStr">
        <is>
          <t>GP1 §12.2</t>
        </is>
      </c>
      <c r="C3" s="18" t="inlineStr">
        <is>
          <t>ENGINEERING</t>
        </is>
      </c>
      <c r="D3" s="18" t="inlineStr">
        <is>
          <t>LOCKED</t>
        </is>
      </c>
      <c r="E3" s="28" t="n">
        <v>14</v>
      </c>
      <c r="F3" s="28" t="n">
        <v>2</v>
      </c>
      <c r="G3" s="28" t="n">
        <v>0</v>
      </c>
      <c r="H3" s="29">
        <f>SUM(E3:G3)</f>
        <v/>
      </c>
      <c r="I3" s="30">
        <f>IF(H3&gt;0,E3/H3,0)</f>
        <v/>
      </c>
      <c r="J3" s="30">
        <f>IF(H3&gt;0,F3/H3,0)</f>
        <v/>
      </c>
      <c r="K3" s="30">
        <f>IF(H3&gt;0,G3/H3,0)</f>
        <v/>
      </c>
      <c r="L3" s="18" t="inlineStr">
        <is>
          <t>EXC-GP1-12-01</t>
        </is>
      </c>
      <c r="M3" s="18" t="inlineStr">
        <is>
          <t>BA-2025-AV-4102</t>
        </is>
      </c>
      <c r="N3" s="18" t="inlineStr">
        <is>
          <t>Honeywell Aerospace</t>
        </is>
      </c>
      <c r="O3" s="18" t="inlineStr">
        <is>
          <t>Tier-1 Avionics</t>
        </is>
      </c>
      <c r="P3" s="18" t="inlineStr">
        <is>
          <t>787</t>
        </is>
      </c>
      <c r="Q3" s="18" t="inlineStr">
        <is>
          <t>HELD_FIRM</t>
        </is>
      </c>
      <c r="R3" s="31" t="n">
        <v>0.8592</v>
      </c>
      <c r="S3" s="18" t="inlineStr">
        <is>
          <t>Chief FAA DER &amp; VP Supplier Quality</t>
        </is>
      </c>
      <c r="T3" s="18" t="inlineStr">
        <is>
          <t>2025-11-14</t>
        </is>
      </c>
      <c r="U3" s="18" t="inlineStr">
        <is>
          <t>Seller warrants all Goods for 36 months from aircraft delivery. Cymbal Aerospace and FAA representatives may conduct unannounced source inspections at any time under FAA 14 CFR Part 21.140.</t>
        </is>
      </c>
      <c r="V3" s="18" t="inlineStr">
        <is>
          <t>Rejected 30-day notice due to FAA 14 CFR Part 21.140 regulatory lockout; held 36-month airworthiness warranty.</t>
        </is>
      </c>
    </row>
    <row r="4" ht="42" customHeight="1">
      <c r="A4" s="15" t="inlineStr">
        <is>
          <t>GP1-12</t>
        </is>
      </c>
      <c r="B4" s="15" t="inlineStr">
        <is>
          <t>GP1 §12.2</t>
        </is>
      </c>
      <c r="C4" s="15" t="inlineStr">
        <is>
          <t>ENGINEERING</t>
        </is>
      </c>
      <c r="D4" s="15" t="inlineStr">
        <is>
          <t>LOCKED</t>
        </is>
      </c>
      <c r="E4" s="24" t="n">
        <v>14</v>
      </c>
      <c r="F4" s="24" t="n">
        <v>2</v>
      </c>
      <c r="G4" s="24" t="n">
        <v>0</v>
      </c>
      <c r="H4" s="25">
        <f>SUM(E4:G4)</f>
        <v/>
      </c>
      <c r="I4" s="26">
        <f>IF(H4&gt;0,E4/H4,0)</f>
        <v/>
      </c>
      <c r="J4" s="26">
        <f>IF(H4&gt;0,F4/H4,0)</f>
        <v/>
      </c>
      <c r="K4" s="26">
        <f>IF(H4&gt;0,G4/H4,0)</f>
        <v/>
      </c>
      <c r="L4" s="15" t="inlineStr">
        <is>
          <t>EXC-GP1-12-02</t>
        </is>
      </c>
      <c r="M4" s="15" t="inlineStr">
        <is>
          <t>BA-2025-AV-3988</t>
        </is>
      </c>
      <c r="N4" s="15" t="inlineStr">
        <is>
          <t>Collins Aerospace</t>
        </is>
      </c>
      <c r="O4" s="15" t="inlineStr">
        <is>
          <t>Tier-1 Avionics</t>
        </is>
      </c>
      <c r="P4" s="15" t="inlineStr">
        <is>
          <t>737-MAX</t>
        </is>
      </c>
      <c r="Q4" s="15" t="inlineStr">
        <is>
          <t>HELD_FIRM</t>
        </is>
      </c>
      <c r="R4" s="27" t="n">
        <v>0.8583</v>
      </c>
      <c r="S4" s="15" t="inlineStr">
        <is>
          <t>Director, Flight Controls QA</t>
        </is>
      </c>
      <c r="T4" s="15" t="inlineStr">
        <is>
          <t>2025-09-22</t>
        </is>
      </c>
      <c r="U4" s="15" t="inlineStr">
        <is>
          <t>Seller warrants all Goods for 36 months from initial aircraft delivery. Cymbal Aerospace and FAA retain unannounced source inspection rights at Seller facilities at any time.</t>
        </is>
      </c>
      <c r="V4" s="15" t="inlineStr">
        <is>
          <t>FAA Production Certificate 700 requires unrestricted FAA/Cymbal Aerospace source surveillance.</t>
        </is>
      </c>
    </row>
    <row r="5" ht="42" customHeight="1">
      <c r="A5" s="18" t="inlineStr">
        <is>
          <t>GP1-12</t>
        </is>
      </c>
      <c r="B5" s="18" t="inlineStr">
        <is>
          <t>GP1 §12.2</t>
        </is>
      </c>
      <c r="C5" s="18" t="inlineStr">
        <is>
          <t>ENGINEERING</t>
        </is>
      </c>
      <c r="D5" s="18" t="inlineStr">
        <is>
          <t>LOCKED</t>
        </is>
      </c>
      <c r="E5" s="28" t="n">
        <v>14</v>
      </c>
      <c r="F5" s="28" t="n">
        <v>2</v>
      </c>
      <c r="G5" s="28" t="n">
        <v>0</v>
      </c>
      <c r="H5" s="29">
        <f>SUM(E5:G5)</f>
        <v/>
      </c>
      <c r="I5" s="30">
        <f>IF(H5&gt;0,E5/H5,0)</f>
        <v/>
      </c>
      <c r="J5" s="30">
        <f>IF(H5&gt;0,F5/H5,0)</f>
        <v/>
      </c>
      <c r="K5" s="30">
        <f>IF(H5&gt;0,G5/H5,0)</f>
        <v/>
      </c>
      <c r="L5" s="18" t="inlineStr">
        <is>
          <t>EXC-GP1-12-10</t>
        </is>
      </c>
      <c r="M5" s="18" t="inlineStr">
        <is>
          <t>BA-2024-AV-1980</t>
        </is>
      </c>
      <c r="N5" s="18" t="inlineStr">
        <is>
          <t>Crane Aerospace &amp; Electronics</t>
        </is>
      </c>
      <c r="O5" s="18" t="inlineStr">
        <is>
          <t>Tier-1 Avionics</t>
        </is>
      </c>
      <c r="P5" s="18" t="inlineStr">
        <is>
          <t>737-MAX</t>
        </is>
      </c>
      <c r="Q5" s="18" t="inlineStr">
        <is>
          <t>HELD_FIRM</t>
        </is>
      </c>
      <c r="R5" s="31" t="n">
        <v>0.8459</v>
      </c>
      <c r="S5" s="18" t="inlineStr">
        <is>
          <t>Supplier QA Manager</t>
        </is>
      </c>
      <c r="T5" s="18" t="inlineStr">
        <is>
          <t>2024-03-29</t>
        </is>
      </c>
      <c r="U5" s="18" t="inlineStr">
        <is>
          <t>36 months warranty from aircraft delivery; unannounced Cymbal Aerospace and FAA source inspections at any time.</t>
        </is>
      </c>
      <c r="V5" s="18" t="inlineStr">
        <is>
          <t>FAA 14 CFR Part 21.140 prohibits prior notice gating.</t>
        </is>
      </c>
    </row>
    <row r="6" ht="42" customHeight="1">
      <c r="A6" s="15" t="inlineStr">
        <is>
          <t>GP1-12</t>
        </is>
      </c>
      <c r="B6" s="15" t="inlineStr">
        <is>
          <t>GP1 §12.2</t>
        </is>
      </c>
      <c r="C6" s="15" t="inlineStr">
        <is>
          <t>ENGINEERING</t>
        </is>
      </c>
      <c r="D6" s="15" t="inlineStr">
        <is>
          <t>LOCKED</t>
        </is>
      </c>
      <c r="E6" s="24" t="n">
        <v>14</v>
      </c>
      <c r="F6" s="24" t="n">
        <v>2</v>
      </c>
      <c r="G6" s="24" t="n">
        <v>0</v>
      </c>
      <c r="H6" s="25">
        <f>SUM(E6:G6)</f>
        <v/>
      </c>
      <c r="I6" s="26">
        <f>IF(H6&gt;0,E6/H6,0)</f>
        <v/>
      </c>
      <c r="J6" s="26">
        <f>IF(H6&gt;0,F6/H6,0)</f>
        <v/>
      </c>
      <c r="K6" s="26">
        <f>IF(H6&gt;0,G6/H6,0)</f>
        <v/>
      </c>
      <c r="L6" s="15" t="inlineStr">
        <is>
          <t>EXC-GP1-12-09</t>
        </is>
      </c>
      <c r="M6" s="15" t="inlineStr">
        <is>
          <t>BA-2024-AV-2208</t>
        </is>
      </c>
      <c r="N6" s="15" t="inlineStr">
        <is>
          <t>Curtiss-Wright Defense Solutions</t>
        </is>
      </c>
      <c r="O6" s="15" t="inlineStr">
        <is>
          <t>Tier-1 Avionics</t>
        </is>
      </c>
      <c r="P6" s="15" t="inlineStr">
        <is>
          <t>787</t>
        </is>
      </c>
      <c r="Q6" s="15" t="inlineStr">
        <is>
          <t>HELD_FIRM</t>
        </is>
      </c>
      <c r="R6" s="27" t="n">
        <v>0.841</v>
      </c>
      <c r="S6" s="15" t="inlineStr">
        <is>
          <t>Principal FAA DER</t>
        </is>
      </c>
      <c r="T6" s="15" t="inlineStr">
        <is>
          <t>2024-05-15</t>
        </is>
      </c>
      <c r="U6" s="15" t="inlineStr">
        <is>
          <t>36 months warranty from initial aircraft delivery; unannounced source inspections at any time.</t>
        </is>
      </c>
      <c r="V6" s="15" t="inlineStr">
        <is>
          <t>Held firm on GP1 §12.2 baseline.</t>
        </is>
      </c>
    </row>
    <row r="7" ht="42" customHeight="1">
      <c r="A7" s="18" t="inlineStr">
        <is>
          <t>GP1-19</t>
        </is>
      </c>
      <c r="B7" s="18" t="inlineStr">
        <is>
          <t>GP1 §19 &amp; §24</t>
        </is>
      </c>
      <c r="C7" s="18" t="inlineStr">
        <is>
          <t>LEGAL</t>
        </is>
      </c>
      <c r="D7" s="18" t="inlineStr">
        <is>
          <t>ELIGIBLE</t>
        </is>
      </c>
      <c r="E7" s="28" t="n">
        <v>4</v>
      </c>
      <c r="F7" s="28" t="n">
        <v>11</v>
      </c>
      <c r="G7" s="28" t="n">
        <v>1</v>
      </c>
      <c r="H7" s="29">
        <f>SUM(E7:G7)</f>
        <v/>
      </c>
      <c r="I7" s="30">
        <f>IF(H7&gt;0,E7/H7,0)</f>
        <v/>
      </c>
      <c r="J7" s="30">
        <f>IF(H7&gt;0,F7/H7,0)</f>
        <v/>
      </c>
      <c r="K7" s="30">
        <f>IF(H7&gt;0,G7/H7,0)</f>
        <v/>
      </c>
      <c r="L7" s="18" t="inlineStr">
        <is>
          <t>EXC-GP1-19-08</t>
        </is>
      </c>
      <c r="M7" s="18" t="inlineStr">
        <is>
          <t>BA-2024-AV-2490</t>
        </is>
      </c>
      <c r="N7" s="18" t="inlineStr">
        <is>
          <t>L3Harris Avionics</t>
        </is>
      </c>
      <c r="O7" s="18" t="inlineStr">
        <is>
          <t>Tier-1 Avionics</t>
        </is>
      </c>
      <c r="P7" s="18" t="inlineStr">
        <is>
          <t>BDS</t>
        </is>
      </c>
      <c r="Q7" s="18" t="inlineStr">
        <is>
          <t>HELD_FIRM</t>
        </is>
      </c>
      <c r="R7" s="31" t="n">
        <v>0.8314</v>
      </c>
      <c r="S7" s="18" t="inlineStr">
        <is>
          <t>BDS Chief Legal Counsel</t>
        </is>
      </c>
      <c r="T7" s="18" t="inlineStr">
        <is>
          <t>2024-07-11</t>
        </is>
      </c>
      <c r="U7" s="18" t="inlineStr">
        <is>
          <t>Uncapped direct damages, line-stoppage, airworthiness recall, and full system-level IP indemnity.</t>
        </is>
      </c>
      <c r="V7" s="18" t="inlineStr">
        <is>
          <t>Held firm on uncapped liability due to classified defense mission criticality.</t>
        </is>
      </c>
    </row>
    <row r="8" ht="42" customHeight="1">
      <c r="A8" s="15" t="inlineStr">
        <is>
          <t>GP1-19</t>
        </is>
      </c>
      <c r="B8" s="15" t="inlineStr">
        <is>
          <t>GP1 §19 &amp; §24</t>
        </is>
      </c>
      <c r="C8" s="15" t="inlineStr">
        <is>
          <t>LEGAL</t>
        </is>
      </c>
      <c r="D8" s="15" t="inlineStr">
        <is>
          <t>ELIGIBLE</t>
        </is>
      </c>
      <c r="E8" s="24" t="n">
        <v>4</v>
      </c>
      <c r="F8" s="24" t="n">
        <v>11</v>
      </c>
      <c r="G8" s="24" t="n">
        <v>1</v>
      </c>
      <c r="H8" s="25">
        <f>SUM(E8:G8)</f>
        <v/>
      </c>
      <c r="I8" s="26">
        <f>IF(H8&gt;0,E8/H8,0)</f>
        <v/>
      </c>
      <c r="J8" s="26">
        <f>IF(H8&gt;0,F8/H8,0)</f>
        <v/>
      </c>
      <c r="K8" s="26">
        <f>IF(H8&gt;0,G8/H8,0)</f>
        <v/>
      </c>
      <c r="L8" s="15" t="inlineStr">
        <is>
          <t>EXC-GP1-19-03</t>
        </is>
      </c>
      <c r="M8" s="15" t="inlineStr">
        <is>
          <t>BA-2025-AV-3710</t>
        </is>
      </c>
      <c r="N8" s="15" t="inlineStr">
        <is>
          <t>Thales Avionics</t>
        </is>
      </c>
      <c r="O8" s="15" t="inlineStr">
        <is>
          <t>Tier-1 Avionics</t>
        </is>
      </c>
      <c r="P8" s="15" t="inlineStr">
        <is>
          <t>777X</t>
        </is>
      </c>
      <c r="Q8" s="15" t="inlineStr">
        <is>
          <t>COMPROMISE_TIER_1</t>
        </is>
      </c>
      <c r="R8" s="27" t="n">
        <v>0.8223</v>
      </c>
      <c r="S8" s="15" t="inlineStr">
        <is>
          <t>VP Corporate Legal</t>
        </is>
      </c>
      <c r="T8" s="15" t="inlineStr">
        <is>
          <t>2025-08-05</t>
        </is>
      </c>
      <c r="U8" s="15" t="inlineStr">
        <is>
          <t>200% (2x PO) cap on general direct damages; uncapped recall, gross negligence, and IP indemnity; IP exclusion limited solely to Cymbal Aerospace proprietary specifications.</t>
        </is>
      </c>
      <c r="V8" s="15" t="inlineStr">
        <is>
          <t>Aligned with Tier-1 avionics precedent (2x PO cap + uncapped safety/IP).</t>
        </is>
      </c>
    </row>
    <row r="9" ht="42" customHeight="1">
      <c r="A9" s="18" t="inlineStr">
        <is>
          <t>GP1-19</t>
        </is>
      </c>
      <c r="B9" s="18" t="inlineStr">
        <is>
          <t>GP1 §19 &amp; §24</t>
        </is>
      </c>
      <c r="C9" s="18" t="inlineStr">
        <is>
          <t>LEGAL</t>
        </is>
      </c>
      <c r="D9" s="18" t="inlineStr">
        <is>
          <t>ELIGIBLE</t>
        </is>
      </c>
      <c r="E9" s="28" t="n">
        <v>4</v>
      </c>
      <c r="F9" s="28" t="n">
        <v>11</v>
      </c>
      <c r="G9" s="28" t="n">
        <v>1</v>
      </c>
      <c r="H9" s="29">
        <f>SUM(E9:G9)</f>
        <v/>
      </c>
      <c r="I9" s="30">
        <f>IF(H9&gt;0,E9/H9,0)</f>
        <v/>
      </c>
      <c r="J9" s="30">
        <f>IF(H9&gt;0,F9/H9,0)</f>
        <v/>
      </c>
      <c r="K9" s="30">
        <f>IF(H9&gt;0,G9/H9,0)</f>
        <v/>
      </c>
      <c r="L9" s="18" t="inlineStr">
        <is>
          <t>EXC-GP1-19-02</t>
        </is>
      </c>
      <c r="M9" s="18" t="inlineStr">
        <is>
          <t>BA-2025-AV-3988</t>
        </is>
      </c>
      <c r="N9" s="18" t="inlineStr">
        <is>
          <t>Collins Aerospace</t>
        </is>
      </c>
      <c r="O9" s="18" t="inlineStr">
        <is>
          <t>Tier-1 Avionics</t>
        </is>
      </c>
      <c r="P9" s="18" t="inlineStr">
        <is>
          <t>737-MAX</t>
        </is>
      </c>
      <c r="Q9" s="18" t="inlineStr">
        <is>
          <t>COMPROMISE_TIER_1</t>
        </is>
      </c>
      <c r="R9" s="31" t="n">
        <v>0.821</v>
      </c>
      <c r="S9" s="18" t="inlineStr">
        <is>
          <t>Senior Counsel, Commercial &amp; IP</t>
        </is>
      </c>
      <c r="T9" s="18" t="inlineStr">
        <is>
          <t>2025-09-22</t>
        </is>
      </c>
      <c r="U9" s="18" t="inlineStr">
        <is>
          <t>200% (2x PO) super-cap on general direct damages; uncapped airworthiness recall and IP indemnity; IP carveout restricted solely to Cymbal Aerospace proprietary flight control bus specifications.</t>
        </is>
      </c>
      <c r="V9" s="18" t="inlineStr">
        <is>
          <t>Standard Tier-1 Avionics compromise per Corporate Legal Playbook.</t>
        </is>
      </c>
    </row>
    <row r="10" ht="42" customHeight="1">
      <c r="A10" s="15" t="inlineStr">
        <is>
          <t>GP1-19</t>
        </is>
      </c>
      <c r="B10" s="15" t="inlineStr">
        <is>
          <t>GP1 §19 &amp; §24</t>
        </is>
      </c>
      <c r="C10" s="15" t="inlineStr">
        <is>
          <t>LEGAL</t>
        </is>
      </c>
      <c r="D10" s="15" t="inlineStr">
        <is>
          <t>ELIGIBLE</t>
        </is>
      </c>
      <c r="E10" s="24" t="n">
        <v>4</v>
      </c>
      <c r="F10" s="24" t="n">
        <v>11</v>
      </c>
      <c r="G10" s="24" t="n">
        <v>1</v>
      </c>
      <c r="H10" s="25">
        <f>SUM(E10:G10)</f>
        <v/>
      </c>
      <c r="I10" s="26">
        <f>IF(H10&gt;0,E10/H10,0)</f>
        <v/>
      </c>
      <c r="J10" s="26">
        <f>IF(H10&gt;0,F10/H10,0)</f>
        <v/>
      </c>
      <c r="K10" s="26">
        <f>IF(H10&gt;0,G10/H10,0)</f>
        <v/>
      </c>
      <c r="L10" s="15" t="inlineStr">
        <is>
          <t>EXC-GP1-19-01</t>
        </is>
      </c>
      <c r="M10" s="15" t="inlineStr">
        <is>
          <t>BA-2025-AV-4102</t>
        </is>
      </c>
      <c r="N10" s="15" t="inlineStr">
        <is>
          <t>Honeywell Aerospace</t>
        </is>
      </c>
      <c r="O10" s="15" t="inlineStr">
        <is>
          <t>Tier-1 Avionics</t>
        </is>
      </c>
      <c r="P10" s="15" t="inlineStr">
        <is>
          <t>787</t>
        </is>
      </c>
      <c r="Q10" s="15" t="inlineStr">
        <is>
          <t>COMPROMISE_TIER_1</t>
        </is>
      </c>
      <c r="R10" s="27" t="n">
        <v>0.8204</v>
      </c>
      <c r="S10" s="15" t="inlineStr">
        <is>
          <t>VP Corporate Legal &amp; Chief IP Counsel</t>
        </is>
      </c>
      <c r="T10" s="15" t="inlineStr">
        <is>
          <t>2025-11-14</t>
        </is>
      </c>
      <c r="U10" s="15" t="inlineStr">
        <is>
          <t>Direct damages capped at 200% (2x) of PO value ($90M equivalent), with uncapped liability for airworthiness recall, gross negligence, and IP indemnity. IP carveout narrowed solely to claims caused by Cymbal Aerospace proprietary bus specifications.</t>
        </is>
      </c>
      <c r="V10" s="15" t="inlineStr">
        <is>
          <t>Playbook Tier-1 Compromise accepted: 2x PO super-cap on general direct damages + narrowed Cymbal Aerospace-sole-spec IP carveout.</t>
        </is>
      </c>
    </row>
    <row r="11" ht="42" customHeight="1">
      <c r="A11" s="18" t="inlineStr">
        <is>
          <t>GP1-19</t>
        </is>
      </c>
      <c r="B11" s="18" t="inlineStr">
        <is>
          <t>GP1 §19 &amp; §24</t>
        </is>
      </c>
      <c r="C11" s="18" t="inlineStr">
        <is>
          <t>LEGAL</t>
        </is>
      </c>
      <c r="D11" s="18" t="inlineStr">
        <is>
          <t>ELIGIBLE</t>
        </is>
      </c>
      <c r="E11" s="28" t="n">
        <v>4</v>
      </c>
      <c r="F11" s="28" t="n">
        <v>11</v>
      </c>
      <c r="G11" s="28" t="n">
        <v>1</v>
      </c>
      <c r="H11" s="29">
        <f>SUM(E11:G11)</f>
        <v/>
      </c>
      <c r="I11" s="30">
        <f>IF(H11&gt;0,E11/H11,0)</f>
        <v/>
      </c>
      <c r="J11" s="30">
        <f>IF(H11&gt;0,F11/H11,0)</f>
        <v/>
      </c>
      <c r="K11" s="30">
        <f>IF(H11&gt;0,G11/H11,0)</f>
        <v/>
      </c>
      <c r="L11" s="18" t="inlineStr">
        <is>
          <t>EXC-GP1-19-04</t>
        </is>
      </c>
      <c r="M11" s="18" t="inlineStr">
        <is>
          <t>BA-2025-AV-3504</t>
        </is>
      </c>
      <c r="N11" s="18" t="inlineStr">
        <is>
          <t>BAE Systems Controls</t>
        </is>
      </c>
      <c r="O11" s="18" t="inlineStr">
        <is>
          <t>Tier-1 Avionics</t>
        </is>
      </c>
      <c r="P11" s="18" t="inlineStr">
        <is>
          <t>737-MAX</t>
        </is>
      </c>
      <c r="Q11" s="18" t="inlineStr">
        <is>
          <t>COMPROMISE_TIER_1</t>
        </is>
      </c>
      <c r="R11" s="31" t="n">
        <v>0.8174</v>
      </c>
      <c r="S11" s="18" t="inlineStr">
        <is>
          <t>Deputy General Counsel</t>
        </is>
      </c>
      <c r="T11" s="18" t="inlineStr">
        <is>
          <t>2025-06-18</t>
        </is>
      </c>
      <c r="U11" s="18" t="inlineStr">
        <is>
          <t>2x PO (200%) cap on general direct damages; airworthiness recall and §24 IP indemnification remain strictly uncapped; IP carveout narrowed to Cymbal Aerospace sole specifications.</t>
        </is>
      </c>
      <c r="V11" s="18" t="inlineStr">
        <is>
          <t>Protected uncapped airworthiness recall and system integration IP.</t>
        </is>
      </c>
    </row>
    <row r="12" ht="42" customHeight="1">
      <c r="A12" s="15" t="inlineStr">
        <is>
          <t>SP3-04</t>
        </is>
      </c>
      <c r="B12" s="15" t="inlineStr">
        <is>
          <t>SP3 §4.1</t>
        </is>
      </c>
      <c r="C12" s="15" t="inlineStr">
        <is>
          <t>TAX</t>
        </is>
      </c>
      <c r="D12" s="15" t="inlineStr">
        <is>
          <t>ELIGIBLE</t>
        </is>
      </c>
      <c r="E12" s="24" t="n">
        <v>5</v>
      </c>
      <c r="F12" s="24" t="n">
        <v>10</v>
      </c>
      <c r="G12" s="24" t="n">
        <v>1</v>
      </c>
      <c r="H12" s="25">
        <f>SUM(E12:G12)</f>
        <v/>
      </c>
      <c r="I12" s="26">
        <f>IF(H12&gt;0,E12/H12,0)</f>
        <v/>
      </c>
      <c r="J12" s="26">
        <f>IF(H12&gt;0,F12/H12,0)</f>
        <v/>
      </c>
      <c r="K12" s="26">
        <f>IF(H12&gt;0,G12/H12,0)</f>
        <v/>
      </c>
      <c r="L12" s="15" t="inlineStr">
        <is>
          <t>EXC-SP3-04-01</t>
        </is>
      </c>
      <c r="M12" s="15" t="inlineStr">
        <is>
          <t>BA-2025-AV-4102</t>
        </is>
      </c>
      <c r="N12" s="15" t="inlineStr">
        <is>
          <t>Honeywell Aerospace</t>
        </is>
      </c>
      <c r="O12" s="15" t="inlineStr">
        <is>
          <t>Tier-1 Avionics</t>
        </is>
      </c>
      <c r="P12" s="15" t="inlineStr">
        <is>
          <t>787</t>
        </is>
      </c>
      <c r="Q12" s="15" t="inlineStr">
        <is>
          <t>COMPROMISE_TIER_1</t>
        </is>
      </c>
      <c r="R12" s="27" t="n">
        <v>0.8342000000000001</v>
      </c>
      <c r="S12" s="15" t="inlineStr">
        <is>
          <t>Director, Global Tax &amp; VP Procurement</t>
        </is>
      </c>
      <c r="T12" s="15" t="inlineStr">
        <is>
          <t>2025-11-14</t>
        </is>
      </c>
      <c r="U12" s="15" t="inlineStr">
        <is>
          <t>Unit prices remain DDP Cymbal Aerospace Everett/Renton. Verified new Section 232/301 tariff increases &gt;5.0% on titanium forgings or semiconductor wafers shared 50/50, strictly capped at a maximum aggregate adjustment of 2.0% of the GP1 §3.1 Firm-Fixed-Price SOW unit price.</t>
        </is>
      </c>
      <c r="V12" s="15" t="inlineStr">
        <is>
          <t>Harmonized 50/50 sharing with a hard 2.0% SOW cap to preserve GP1 §3.1 Firm-Fixed-Price integrity.</t>
        </is>
      </c>
    </row>
    <row r="13" ht="42" customHeight="1">
      <c r="A13" s="18" t="inlineStr">
        <is>
          <t>SP3-04</t>
        </is>
      </c>
      <c r="B13" s="18" t="inlineStr">
        <is>
          <t>SP3 §4.1</t>
        </is>
      </c>
      <c r="C13" s="18" t="inlineStr">
        <is>
          <t>TAX</t>
        </is>
      </c>
      <c r="D13" s="18" t="inlineStr">
        <is>
          <t>ELIGIBLE</t>
        </is>
      </c>
      <c r="E13" s="28" t="n">
        <v>5</v>
      </c>
      <c r="F13" s="28" t="n">
        <v>10</v>
      </c>
      <c r="G13" s="28" t="n">
        <v>1</v>
      </c>
      <c r="H13" s="29">
        <f>SUM(E13:G13)</f>
        <v/>
      </c>
      <c r="I13" s="30">
        <f>IF(H13&gt;0,E13/H13,0)</f>
        <v/>
      </c>
      <c r="J13" s="30">
        <f>IF(H13&gt;0,F13/H13,0)</f>
        <v/>
      </c>
      <c r="K13" s="30">
        <f>IF(H13&gt;0,G13/H13,0)</f>
        <v/>
      </c>
      <c r="L13" s="18" t="inlineStr">
        <is>
          <t>EXC-SP3-04-02</t>
        </is>
      </c>
      <c r="M13" s="18" t="inlineStr">
        <is>
          <t>BA-2025-AV-3988</t>
        </is>
      </c>
      <c r="N13" s="18" t="inlineStr">
        <is>
          <t>Collins Aerospace</t>
        </is>
      </c>
      <c r="O13" s="18" t="inlineStr">
        <is>
          <t>Tier-1 Avionics</t>
        </is>
      </c>
      <c r="P13" s="18" t="inlineStr">
        <is>
          <t>737-MAX</t>
        </is>
      </c>
      <c r="Q13" s="18" t="inlineStr">
        <is>
          <t>COMPROMISE_TIER_1</t>
        </is>
      </c>
      <c r="R13" s="31" t="n">
        <v>0.8283</v>
      </c>
      <c r="S13" s="18" t="inlineStr">
        <is>
          <t>Global Tax &amp; Procurement Joint Sign-off</t>
        </is>
      </c>
      <c r="T13" s="18" t="inlineStr">
        <is>
          <t>2025-09-22</t>
        </is>
      </c>
      <c r="U13" s="18" t="inlineStr">
        <is>
          <t>50/50 tariff sharing above 5.0% threshold, strictly capped at a maximum aggregate adjustment of 2.0% of the GP1 §3.1 Firm-Fixed-Price SOW unit price.</t>
        </is>
      </c>
      <c r="V13" s="18" t="inlineStr">
        <is>
          <t>Prevented cross-clause breach of GP1 §3.1 FFP ceiling via 2.0% aggregate cap.</t>
        </is>
      </c>
    </row>
    <row r="14" ht="42" customHeight="1">
      <c r="A14" s="15" t="inlineStr">
        <is>
          <t>SP3-04</t>
        </is>
      </c>
      <c r="B14" s="15" t="inlineStr">
        <is>
          <t>SP3 §4.1</t>
        </is>
      </c>
      <c r="C14" s="15" t="inlineStr">
        <is>
          <t>TAX</t>
        </is>
      </c>
      <c r="D14" s="15" t="inlineStr">
        <is>
          <t>ELIGIBLE</t>
        </is>
      </c>
      <c r="E14" s="24" t="n">
        <v>5</v>
      </c>
      <c r="F14" s="24" t="n">
        <v>10</v>
      </c>
      <c r="G14" s="24" t="n">
        <v>1</v>
      </c>
      <c r="H14" s="25">
        <f>SUM(E14:G14)</f>
        <v/>
      </c>
      <c r="I14" s="26">
        <f>IF(H14&gt;0,E14/H14,0)</f>
        <v/>
      </c>
      <c r="J14" s="26">
        <f>IF(H14&gt;0,F14/H14,0)</f>
        <v/>
      </c>
      <c r="K14" s="26">
        <f>IF(H14&gt;0,G14/H14,0)</f>
        <v/>
      </c>
      <c r="L14" s="15" t="inlineStr">
        <is>
          <t>EXC-SP3-04-04</t>
        </is>
      </c>
      <c r="M14" s="15" t="inlineStr">
        <is>
          <t>BA-2025-AV-3504</t>
        </is>
      </c>
      <c r="N14" s="15" t="inlineStr">
        <is>
          <t>BAE Systems Controls</t>
        </is>
      </c>
      <c r="O14" s="15" t="inlineStr">
        <is>
          <t>Tier-1 Avionics</t>
        </is>
      </c>
      <c r="P14" s="15" t="inlineStr">
        <is>
          <t>737-MAX</t>
        </is>
      </c>
      <c r="Q14" s="15" t="inlineStr">
        <is>
          <t>COMPROMISE_TIER_1</t>
        </is>
      </c>
      <c r="R14" s="27" t="n">
        <v>0.8194</v>
      </c>
      <c r="S14" s="15" t="inlineStr">
        <is>
          <t>Global Tax &amp; Subcontracts Lead</t>
        </is>
      </c>
      <c r="T14" s="15" t="inlineStr">
        <is>
          <t>2025-06-18</t>
        </is>
      </c>
      <c r="U14" s="15" t="inlineStr">
        <is>
          <t>50/50 cost share on verified Section 232/301 tariffs &gt;5.0%, strictly capped at a maximum aggregate adjustment of 2.0% of GP1 §3.1 FFP unit price.</t>
        </is>
      </c>
      <c r="V14" s="15" t="inlineStr">
        <is>
          <t>Joint Tax/Procurement harmonized language.</t>
        </is>
      </c>
    </row>
    <row r="15" ht="42" customHeight="1">
      <c r="A15" s="18" t="inlineStr">
        <is>
          <t>SP3-04</t>
        </is>
      </c>
      <c r="B15" s="18" t="inlineStr">
        <is>
          <t>SP3 §4.1</t>
        </is>
      </c>
      <c r="C15" s="18" t="inlineStr">
        <is>
          <t>TAX</t>
        </is>
      </c>
      <c r="D15" s="18" t="inlineStr">
        <is>
          <t>ELIGIBLE</t>
        </is>
      </c>
      <c r="E15" s="28" t="n">
        <v>5</v>
      </c>
      <c r="F15" s="28" t="n">
        <v>10</v>
      </c>
      <c r="G15" s="28" t="n">
        <v>1</v>
      </c>
      <c r="H15" s="29">
        <f>SUM(E15:G15)</f>
        <v/>
      </c>
      <c r="I15" s="30">
        <f>IF(H15&gt;0,E15/H15,0)</f>
        <v/>
      </c>
      <c r="J15" s="30">
        <f>IF(H15&gt;0,F15/H15,0)</f>
        <v/>
      </c>
      <c r="K15" s="30">
        <f>IF(H15&gt;0,G15/H15,0)</f>
        <v/>
      </c>
      <c r="L15" s="18" t="inlineStr">
        <is>
          <t>EXC-SP3-04-06</t>
        </is>
      </c>
      <c r="M15" s="18" t="inlineStr">
        <is>
          <t>BA-2024-AV-2840</t>
        </is>
      </c>
      <c r="N15" s="18" t="inlineStr">
        <is>
          <t>Safran Electronics &amp; Defense</t>
        </is>
      </c>
      <c r="O15" s="18" t="inlineStr">
        <is>
          <t>Tier-1 Avionics</t>
        </is>
      </c>
      <c r="P15" s="18" t="inlineStr">
        <is>
          <t>777X</t>
        </is>
      </c>
      <c r="Q15" s="18" t="inlineStr">
        <is>
          <t>COMPROMISE_TIER_1</t>
        </is>
      </c>
      <c r="R15" s="31" t="n">
        <v>0.8136</v>
      </c>
      <c r="S15" s="18" t="inlineStr">
        <is>
          <t>Global Tax &amp; Procurement</t>
        </is>
      </c>
      <c r="T15" s="18" t="inlineStr">
        <is>
          <t>2024-10-19</t>
        </is>
      </c>
      <c r="U15" s="18" t="inlineStr">
        <is>
          <t>50/50 sharing on verified Section 232/301 tariffs &gt;5.0%, strictly capped at 2.0% of GP1 §3.1 FFP unit price.</t>
        </is>
      </c>
      <c r="V15" s="18" t="inlineStr">
        <is>
          <t>2.0% SOW cap enforced.</t>
        </is>
      </c>
    </row>
    <row r="16" ht="42" customHeight="1">
      <c r="A16" s="15" t="inlineStr">
        <is>
          <t>SP3-04</t>
        </is>
      </c>
      <c r="B16" s="15" t="inlineStr">
        <is>
          <t>SP3 §4.1</t>
        </is>
      </c>
      <c r="C16" s="15" t="inlineStr">
        <is>
          <t>TAX</t>
        </is>
      </c>
      <c r="D16" s="15" t="inlineStr">
        <is>
          <t>ELIGIBLE</t>
        </is>
      </c>
      <c r="E16" s="24" t="n">
        <v>5</v>
      </c>
      <c r="F16" s="24" t="n">
        <v>10</v>
      </c>
      <c r="G16" s="24" t="n">
        <v>1</v>
      </c>
      <c r="H16" s="25">
        <f>SUM(E16:G16)</f>
        <v/>
      </c>
      <c r="I16" s="26">
        <f>IF(H16&gt;0,E16/H16,0)</f>
        <v/>
      </c>
      <c r="J16" s="26">
        <f>IF(H16&gt;0,F16/H16,0)</f>
        <v/>
      </c>
      <c r="K16" s="26">
        <f>IF(H16&gt;0,G16/H16,0)</f>
        <v/>
      </c>
      <c r="L16" s="15" t="inlineStr">
        <is>
          <t>EXC-SP3-04-09</t>
        </is>
      </c>
      <c r="M16" s="15" t="inlineStr">
        <is>
          <t>BA-2024-AV-2208</t>
        </is>
      </c>
      <c r="N16" s="15" t="inlineStr">
        <is>
          <t>Curtiss-Wright Defense Solutions</t>
        </is>
      </c>
      <c r="O16" s="15" t="inlineStr">
        <is>
          <t>Tier-1 Avionics</t>
        </is>
      </c>
      <c r="P16" s="15" t="inlineStr">
        <is>
          <t>787</t>
        </is>
      </c>
      <c r="Q16" s="15" t="inlineStr">
        <is>
          <t>COMPROMISE_TIER_1</t>
        </is>
      </c>
      <c r="R16" s="27" t="n">
        <v>0.8072</v>
      </c>
      <c r="S16" s="15" t="inlineStr">
        <is>
          <t>Director, Global Tax &amp; Trade</t>
        </is>
      </c>
      <c r="T16" s="15" t="inlineStr">
        <is>
          <t>2024-05-15</t>
        </is>
      </c>
      <c r="U16" s="15" t="inlineStr">
        <is>
          <t>50/50 sharing above 5.0%, strictly capped at 2.0% of GP1 §3.1 FFP unit price.</t>
        </is>
      </c>
      <c r="V16" s="15" t="inlineStr">
        <is>
          <t>Harmonized Tier-1 compromise.</t>
        </is>
      </c>
    </row>
    <row r="17" ht="42" customHeight="1">
      <c r="A17" s="18" t="inlineStr">
        <is>
          <t>SP5-03</t>
        </is>
      </c>
      <c r="B17" s="18" t="inlineStr">
        <is>
          <t>SP5 §3.2</t>
        </is>
      </c>
      <c r="C17" s="18" t="inlineStr">
        <is>
          <t>CYBER</t>
        </is>
      </c>
      <c r="D17" s="18" t="inlineStr">
        <is>
          <t>LOCKED</t>
        </is>
      </c>
      <c r="E17" s="28" t="n">
        <v>15</v>
      </c>
      <c r="F17" s="28" t="n">
        <v>1</v>
      </c>
      <c r="G17" s="28" t="n">
        <v>0</v>
      </c>
      <c r="H17" s="29">
        <f>SUM(E17:G17)</f>
        <v/>
      </c>
      <c r="I17" s="30">
        <f>IF(H17&gt;0,E17/H17,0)</f>
        <v/>
      </c>
      <c r="J17" s="30">
        <f>IF(H17&gt;0,F17/H17,0)</f>
        <v/>
      </c>
      <c r="K17" s="30">
        <f>IF(H17&gt;0,G17/H17,0)</f>
        <v/>
      </c>
      <c r="L17" s="18" t="inlineStr">
        <is>
          <t>EXC-SP5-03-01</t>
        </is>
      </c>
      <c r="M17" s="18" t="inlineStr">
        <is>
          <t>BA-2025-AV-4102</t>
        </is>
      </c>
      <c r="N17" s="18" t="inlineStr">
        <is>
          <t>Honeywell Aerospace</t>
        </is>
      </c>
      <c r="O17" s="18" t="inlineStr">
        <is>
          <t>Tier-1 Avionics</t>
        </is>
      </c>
      <c r="P17" s="18" t="inlineStr">
        <is>
          <t>787</t>
        </is>
      </c>
      <c r="Q17" s="18" t="inlineStr">
        <is>
          <t>HELD_FIRM</t>
        </is>
      </c>
      <c r="R17" s="31" t="n">
        <v>0.8415</v>
      </c>
      <c r="S17" s="18" t="inlineStr">
        <is>
          <t>CISO &amp; Lead Supplier Cyber Defense</t>
        </is>
      </c>
      <c r="T17" s="18" t="inlineStr">
        <is>
          <t>2025-11-14</t>
        </is>
      </c>
      <c r="U17" s="18" t="inlineStr">
        <is>
          <t>Maintain NIST SP 800-171 controls and report any cybersecurity incident affecting Cymbal Aerospace Covered Defense Information or technical data within 72 hours of discovery, and provide forensic log images upon request.</t>
        </is>
      </c>
      <c r="V17" s="18" t="inlineStr">
        <is>
          <t>DFARS 252.204-7012 imposes a strict 72-hour mandatory federal reporting window; 10-day delay rejected.</t>
        </is>
      </c>
    </row>
    <row r="18" ht="42" customHeight="1">
      <c r="A18" s="15" t="inlineStr">
        <is>
          <t>SP5-03</t>
        </is>
      </c>
      <c r="B18" s="15" t="inlineStr">
        <is>
          <t>SP5 §3.2</t>
        </is>
      </c>
      <c r="C18" s="15" t="inlineStr">
        <is>
          <t>CYBER</t>
        </is>
      </c>
      <c r="D18" s="15" t="inlineStr">
        <is>
          <t>LOCKED</t>
        </is>
      </c>
      <c r="E18" s="24" t="n">
        <v>15</v>
      </c>
      <c r="F18" s="24" t="n">
        <v>1</v>
      </c>
      <c r="G18" s="24" t="n">
        <v>0</v>
      </c>
      <c r="H18" s="25">
        <f>SUM(E18:G18)</f>
        <v/>
      </c>
      <c r="I18" s="26">
        <f>IF(H18&gt;0,E18/H18,0)</f>
        <v/>
      </c>
      <c r="J18" s="26">
        <f>IF(H18&gt;0,F18/H18,0)</f>
        <v/>
      </c>
      <c r="K18" s="26">
        <f>IF(H18&gt;0,G18/H18,0)</f>
        <v/>
      </c>
      <c r="L18" s="15" t="inlineStr">
        <is>
          <t>EXC-SP5-03-02</t>
        </is>
      </c>
      <c r="M18" s="15" t="inlineStr">
        <is>
          <t>BA-2025-AV-3988</t>
        </is>
      </c>
      <c r="N18" s="15" t="inlineStr">
        <is>
          <t>Collins Aerospace</t>
        </is>
      </c>
      <c r="O18" s="15" t="inlineStr">
        <is>
          <t>Tier-1 Avionics</t>
        </is>
      </c>
      <c r="P18" s="15" t="inlineStr">
        <is>
          <t>737-MAX</t>
        </is>
      </c>
      <c r="Q18" s="15" t="inlineStr">
        <is>
          <t>HELD_FIRM</t>
        </is>
      </c>
      <c r="R18" s="27" t="n">
        <v>0.8229</v>
      </c>
      <c r="S18" s="15" t="inlineStr">
        <is>
          <t>Director, Supplier Cyber Defense</t>
        </is>
      </c>
      <c r="T18" s="15" t="inlineStr">
        <is>
          <t>2025-09-22</t>
        </is>
      </c>
      <c r="U18" s="15" t="inlineStr">
        <is>
          <t>Mandatory 72-hour cyber incident reporting from discovery per DFARS 252.204-7012 and NIST SP 800-171.</t>
        </is>
      </c>
      <c r="V18" s="15" t="inlineStr">
        <is>
          <t>Held firm on 72-hour statutory window.</t>
        </is>
      </c>
    </row>
    <row r="19" ht="42" customHeight="1">
      <c r="A19" s="18" t="inlineStr">
        <is>
          <t>SP5-03</t>
        </is>
      </c>
      <c r="B19" s="18" t="inlineStr">
        <is>
          <t>SP5 §3.2</t>
        </is>
      </c>
      <c r="C19" s="18" t="inlineStr">
        <is>
          <t>CYBER</t>
        </is>
      </c>
      <c r="D19" s="18" t="inlineStr">
        <is>
          <t>LOCKED</t>
        </is>
      </c>
      <c r="E19" s="28" t="n">
        <v>15</v>
      </c>
      <c r="F19" s="28" t="n">
        <v>1</v>
      </c>
      <c r="G19" s="28" t="n">
        <v>0</v>
      </c>
      <c r="H19" s="29">
        <f>SUM(E19:G19)</f>
        <v/>
      </c>
      <c r="I19" s="30">
        <f>IF(H19&gt;0,E19/H19,0)</f>
        <v/>
      </c>
      <c r="J19" s="30">
        <f>IF(H19&gt;0,F19/H19,0)</f>
        <v/>
      </c>
      <c r="K19" s="30">
        <f>IF(H19&gt;0,G19/H19,0)</f>
        <v/>
      </c>
      <c r="L19" s="18" t="inlineStr">
        <is>
          <t>EXC-SP5-03-06</t>
        </is>
      </c>
      <c r="M19" s="18" t="inlineStr">
        <is>
          <t>BA-2024-AV-2840</t>
        </is>
      </c>
      <c r="N19" s="18" t="inlineStr">
        <is>
          <t>Safran Electronics &amp; Defense</t>
        </is>
      </c>
      <c r="O19" s="18" t="inlineStr">
        <is>
          <t>Tier-1 Avionics</t>
        </is>
      </c>
      <c r="P19" s="18" t="inlineStr">
        <is>
          <t>777X</t>
        </is>
      </c>
      <c r="Q19" s="18" t="inlineStr">
        <is>
          <t>HELD_FIRM</t>
        </is>
      </c>
      <c r="R19" s="31" t="n">
        <v>0.8218</v>
      </c>
      <c r="S19" s="18" t="inlineStr">
        <is>
          <t>Supplier Cyber Defense Lead</t>
        </is>
      </c>
      <c r="T19" s="18" t="inlineStr">
        <is>
          <t>2024-10-19</t>
        </is>
      </c>
      <c r="U19" s="18" t="inlineStr">
        <is>
          <t>72 hours of discovery per DFARS 252.204-7012 and NIST SP 800-171.</t>
        </is>
      </c>
      <c r="V19" s="18" t="inlineStr">
        <is>
          <t>Held firm on SP5 §3.2 baseline.</t>
        </is>
      </c>
    </row>
    <row r="20" ht="42" customHeight="1">
      <c r="A20" s="15" t="inlineStr">
        <is>
          <t>SP5-03</t>
        </is>
      </c>
      <c r="B20" s="15" t="inlineStr">
        <is>
          <t>SP5 §3.2</t>
        </is>
      </c>
      <c r="C20" s="15" t="inlineStr">
        <is>
          <t>CYBER</t>
        </is>
      </c>
      <c r="D20" s="15" t="inlineStr">
        <is>
          <t>LOCKED</t>
        </is>
      </c>
      <c r="E20" s="24" t="n">
        <v>15</v>
      </c>
      <c r="F20" s="24" t="n">
        <v>1</v>
      </c>
      <c r="G20" s="24" t="n">
        <v>0</v>
      </c>
      <c r="H20" s="25">
        <f>SUM(E20:G20)</f>
        <v/>
      </c>
      <c r="I20" s="26">
        <f>IF(H20&gt;0,E20/H20,0)</f>
        <v/>
      </c>
      <c r="J20" s="26">
        <f>IF(H20&gt;0,F20/H20,0)</f>
        <v/>
      </c>
      <c r="K20" s="26">
        <f>IF(H20&gt;0,G20/H20,0)</f>
        <v/>
      </c>
      <c r="L20" s="15" t="inlineStr">
        <is>
          <t>EXC-SP5-03-04</t>
        </is>
      </c>
      <c r="M20" s="15" t="inlineStr">
        <is>
          <t>BA-2025-AV-3504</t>
        </is>
      </c>
      <c r="N20" s="15" t="inlineStr">
        <is>
          <t>BAE Systems Controls</t>
        </is>
      </c>
      <c r="O20" s="15" t="inlineStr">
        <is>
          <t>Tier-1 Avionics</t>
        </is>
      </c>
      <c r="P20" s="15" t="inlineStr">
        <is>
          <t>737-MAX</t>
        </is>
      </c>
      <c r="Q20" s="15" t="inlineStr">
        <is>
          <t>HELD_FIRM</t>
        </is>
      </c>
      <c r="R20" s="27" t="n">
        <v>0.8201000000000001</v>
      </c>
      <c r="S20" s="15" t="inlineStr">
        <is>
          <t>BDS &amp; Commercial Cyber Lead</t>
        </is>
      </c>
      <c r="T20" s="15" t="inlineStr">
        <is>
          <t>2025-06-18</t>
        </is>
      </c>
      <c r="U20" s="15" t="inlineStr">
        <is>
          <t>72-hour notification from discovery per DFARS 252.204-7012.</t>
        </is>
      </c>
      <c r="V20" s="15" t="inlineStr">
        <is>
          <t>Zero tolerance for extending 72-hour DFARS reporting window.</t>
        </is>
      </c>
    </row>
    <row r="21" ht="42" customHeight="1">
      <c r="A21" s="18" t="inlineStr">
        <is>
          <t>SP5-03</t>
        </is>
      </c>
      <c r="B21" s="18" t="inlineStr">
        <is>
          <t>SP5 §3.2</t>
        </is>
      </c>
      <c r="C21" s="18" t="inlineStr">
        <is>
          <t>CYBER</t>
        </is>
      </c>
      <c r="D21" s="18" t="inlineStr">
        <is>
          <t>LOCKED</t>
        </is>
      </c>
      <c r="E21" s="28" t="n">
        <v>15</v>
      </c>
      <c r="F21" s="28" t="n">
        <v>1</v>
      </c>
      <c r="G21" s="28" t="n">
        <v>0</v>
      </c>
      <c r="H21" s="29">
        <f>SUM(E21:G21)</f>
        <v/>
      </c>
      <c r="I21" s="30">
        <f>IF(H21&gt;0,E21/H21,0)</f>
        <v/>
      </c>
      <c r="J21" s="30">
        <f>IF(H21&gt;0,F21/H21,0)</f>
        <v/>
      </c>
      <c r="K21" s="30">
        <f>IF(H21&gt;0,G21/H21,0)</f>
        <v/>
      </c>
      <c r="L21" s="18" t="inlineStr">
        <is>
          <t>EXC-SP5-03-05</t>
        </is>
      </c>
      <c r="M21" s="18" t="inlineStr">
        <is>
          <t>BA-2024-AV-2911</t>
        </is>
      </c>
      <c r="N21" s="18" t="inlineStr">
        <is>
          <t>Moog Aircraft Group</t>
        </is>
      </c>
      <c r="O21" s="18" t="inlineStr">
        <is>
          <t>Tier-1 Actuation &amp; Avionics</t>
        </is>
      </c>
      <c r="P21" s="18" t="inlineStr">
        <is>
          <t>787</t>
        </is>
      </c>
      <c r="Q21" s="18" t="inlineStr">
        <is>
          <t>COMPROMISE_TIER_1</t>
        </is>
      </c>
      <c r="R21" s="31" t="n">
        <v>0.8110000000000001</v>
      </c>
      <c r="S21" s="18" t="inlineStr">
        <is>
          <t>CISO &amp; Supplier Cyber Defense</t>
        </is>
      </c>
      <c r="T21" s="18" t="inlineStr">
        <is>
          <t>2024-12-03</t>
        </is>
      </c>
      <c r="U21" s="18" t="inlineStr">
        <is>
          <t>72-hour preliminary cyber incident notification upon discovery enforced; full root-cause forensic log packet permitted within 5 business days.</t>
        </is>
      </c>
      <c r="V21" s="18" t="inlineStr">
        <is>
          <t>Kept mandatory 72-hour initial notification intact while allowing 5 business days for deep forensic log image delivery.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20" customWidth="1" min="1" max="1"/>
    <col width="26" customWidth="1" min="2" max="2"/>
    <col width="36" customWidth="1" min="3" max="3"/>
    <col width="18" customWidth="1" min="4" max="4"/>
    <col width="48" customWidth="1" min="5" max="5"/>
    <col width="48" customWidth="1" min="6" max="6"/>
    <col width="48" customWidth="1" min="7" max="7"/>
    <col width="48" customWidth="1" min="8" max="8"/>
    <col width="18" customWidth="1" min="9" max="9"/>
    <col width="22" customWidth="1" min="10" max="10"/>
  </cols>
  <sheetData>
    <row r="1" ht="24" customHeight="1">
      <c r="A1" s="13" t="inlineStr">
        <is>
          <t>Deal ID</t>
        </is>
      </c>
      <c r="B1" s="13" t="inlineStr">
        <is>
          <t>Supplier</t>
        </is>
      </c>
      <c r="C1" s="13" t="inlineStr">
        <is>
          <t>Program</t>
        </is>
      </c>
      <c r="D1" s="13" t="inlineStr">
        <is>
          <t>Value ($ USD)</t>
        </is>
      </c>
      <c r="E1" s="13" t="inlineStr">
        <is>
          <t>GP1 §12.2 Warranty &amp; FAA Inspection</t>
        </is>
      </c>
      <c r="F1" s="13" t="inlineStr">
        <is>
          <t>GP1 §19 Limitation of Liability</t>
        </is>
      </c>
      <c r="G1" s="13" t="inlineStr">
        <is>
          <t>SP3 §4.1 Customs &amp; Tariffs</t>
        </is>
      </c>
      <c r="H1" s="13" t="inlineStr">
        <is>
          <t>SP5 §3.2 DFARS Cyber Reporting</t>
        </is>
      </c>
      <c r="I1" s="13" t="inlineStr">
        <is>
          <t>Liability Cap Multiple</t>
        </is>
      </c>
      <c r="J1" s="13" t="inlineStr">
        <is>
          <t>Portfolio Gate Status</t>
        </is>
      </c>
    </row>
    <row r="2" ht="54" customHeight="1">
      <c r="A2" s="14" t="inlineStr">
        <is>
          <t>BA-2026-AV-8921</t>
        </is>
      </c>
      <c r="B2" s="15" t="inlineStr">
        <is>
          <t>Apex AeroSystems Inc.</t>
        </is>
      </c>
      <c r="C2" s="15" t="inlineStr">
        <is>
          <t>787 / 737-MAX Flight Control Display Units (FCC-900)</t>
        </is>
      </c>
      <c r="D2" s="32" t="n">
        <v>45000000</v>
      </c>
      <c r="E2" s="15" t="inlineStr">
        <is>
          <t>[APPROVED] | hold_firm | 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F2" s="15" t="inlineStr">
        <is>
          <t>[APPROVED] | compromise_tier_1 | 19.1 (a) Direct, Line-Stoppage &amp; Airworthiness Recall Liability: Seller's liability for general direct damages and final assembly line-stoppage shall be capped at two hundred percent (200%) of the total Purchase Order value ($90M), provided that liability for Fleet Airworthiness Directive (`AD`) recall, gross negligence, willful misconduct, and §24 IP indemnification shall remain strictly uncapped. 24.1 (b) Intellectual Property Indemnification: Seller shall defend, indemnify, and hold harmless Cymbal Aerospace and its airline customers against all third-party intellectual property infringement claims including system-level avionics bus integration, except where such claim arises solely from Cymbal Aerospace's proprietary flight control bus specifications.</t>
        </is>
      </c>
      <c r="G2" s="15" t="inlineStr">
        <is>
          <t>[APPROVED] | custom_harmonized | 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DDP (Incoterms 2020) Cymbal Aerospace Everett/Renton facility. Any verified new Section 232/301 tariff increase exceeding 5.0% on raw titanium forgings or semiconductor wafers shall be shared 50/50 between Cymbal Aerospace and Seller, strictly capped at a maximum aggregate adjustment of 2.0% of the GP1 §3.1 Firm-Fixed-Price SOW unit price.</t>
        </is>
      </c>
      <c r="H2" s="15" t="inlineStr">
        <is>
          <t>[APPROVED] | hold_firm | 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seventy-two (72) hours of discovery, preserve affected system media for ninety (90) days, and provide raw forensic log images and malware telemetry upon request.</t>
        </is>
      </c>
      <c r="I2" s="33" t="n">
        <v>2</v>
      </c>
      <c r="J2" s="19" t="inlineStr">
        <is>
          <t>READY_FOR_DISPATCH</t>
        </is>
      </c>
    </row>
    <row r="3" ht="54" customHeight="1">
      <c r="A3" s="14" t="inlineStr">
        <is>
          <t>BA-2026-TR-5510</t>
        </is>
      </c>
      <c r="B3" s="15" t="inlineStr">
        <is>
          <t>Vanguard Thrust Systems Corp.</t>
        </is>
      </c>
      <c r="C3" s="15" t="inlineStr">
        <is>
          <t>777X / 787 Thrust Reverser Actuators (TRA-500)</t>
        </is>
      </c>
      <c r="D3" s="32" t="n">
        <v>38000000</v>
      </c>
      <c r="E3" s="15" t="inlineStr">
        <is>
          <t>[APPROVED] | hold_firm | 12.2 Seller warrants all TRA-500 Thrust Reverser Actuator assemblies against defects in hydraulic seals, ballscrews, and workmanship for thirty-six (36) months from initial aircraft delivery to Buyer's airline customer. Buyer and FAA representatives may conduct unannounced source inspections at Seller's facility at any time to verify AS9100 Rev D and FAA 14 CFR Part 21.140 production airworthiness compliance.</t>
        </is>
      </c>
      <c r="F3" s="15" t="inlineStr">
        <is>
          <t>[CONFLICT] | compromise_tier_1 | 19.1 Seller's aggregate liability for direct damages, nacelle line-stoppage, and thrust reverser airworthiness recall costs shall not exceed one hundred fifty percent (150% / 1.5x) of total Purchase Order value ($57,000,000), with a 2.5x ($95,000,000) Super-Cap and uncapped carveouts for IP indemnification (§24), flight-safety Airworthiness Directives, and DFARS cybersecurity obligations.</t>
        </is>
      </c>
      <c r="G3" s="15" t="inlineStr">
        <is>
          <t>[APPROVED] | compromise_tier_1 | 4.1 All TRA-500 unit prices are exclusive of any new Section 232/301 tariffs on specialty Inconel/maraging steel actuator forgings exceeding five percent (5%), which shall be shared 50/50 capped at 2.0% ($760,000) of PO value.</t>
        </is>
      </c>
      <c r="H3" s="15" t="inlineStr">
        <is>
          <t>[APPROVED] | hold_firm | 3.2 Seller shall maintain NIST SP 800-171 controls for all TRA-500 digital test benches and report any cybersecurity incident affecting Covered Defense Information within seventy-two (72) hours of discovery, and provide forensic log images upon request.</t>
        </is>
      </c>
      <c r="I3" s="33" t="n">
        <v>1.5</v>
      </c>
      <c r="J3" s="21" t="inlineStr">
        <is>
          <t>CONFLICT_DETECTED</t>
        </is>
      </c>
    </row>
    <row r="4" ht="54" customHeight="1">
      <c r="A4" s="14" t="inlineStr">
        <is>
          <t>BA-2026-LG-7740</t>
        </is>
      </c>
      <c r="B4" s="15" t="inlineStr">
        <is>
          <t>Meridian Landing Gear Corp.</t>
        </is>
      </c>
      <c r="C4" s="15" t="inlineStr">
        <is>
          <t>787-10 Titanium Main Landing Gear Assemblies (TLG-800)</t>
        </is>
      </c>
      <c r="D4" s="32" t="n">
        <v>52000000</v>
      </c>
      <c r="E4" s="15" t="inlineStr">
        <is>
          <t>[APPROVED] | hold_firm | 12.2 Seller warrants all TLG-800 Titanium Main Landing Gear Assemblies against structural fatigue, forging inclusions, and defects in workmanship for thirty-six (36) months from initial aircraft delivery to Buyer's airline customer. Buyer and FAA representatives may conduct unannounced source inspections at Seller's forge and machining facilities at any time to verify AS9100 Rev D and FAA 14 CFR Part 21.140 primary structural airworthiness compliance.</t>
        </is>
      </c>
      <c r="F4" s="15" t="inlineStr">
        <is>
          <t>[APPROVED] | compromise_tier_1 | 19.1 Seller's liability for direct damages, final assembly line-stoppage, and TLG-800 landing gear Airworthiness Directive recall costs shall not exceed one hundred percent (100%) of the total Purchase Order value ($52,000,000). 24.1 Seller shall indemnify Buyer against all third-party intellectual property infringement claims except where such claim arises from combination of TLG-800 assemblies with Buyer airframe hydraulic systems.</t>
        </is>
      </c>
      <c r="G4" s="15" t="inlineStr">
        <is>
          <t>[APPROVED] | compromise_tier_1 | 4.1 All TLG-800 unit prices are exclusive of any new or increased Section 232/301 tariffs on VSMPO/European titanium billet forgings exceeding five percent (5%), which shall be passed through 100% to Buyer.</t>
        </is>
      </c>
      <c r="H4" s="15" t="inlineStr">
        <is>
          <t>[APPROVED] | hold_firm | 3.2 Seller shall maintain NIST SP 800-171 controls for all CNC 5-axis machining cells and report any cybersecurity incident affecting Covered Defense Information or TLG-800 technical data within seventy-two (72) hours of discovery, and provide forensic log images upon request.</t>
        </is>
      </c>
      <c r="I4" s="33" t="n">
        <v>2</v>
      </c>
      <c r="J4" s="19" t="inlineStr">
        <is>
          <t>READY_FOR_DISPATCH</t>
        </is>
      </c>
    </row>
    <row r="5" ht="28" customHeight="1">
      <c r="A5" s="34" t="inlineStr">
        <is>
          <t>PORTFOLIO SUMMARY</t>
        </is>
      </c>
      <c r="B5" s="35">
        <f>COUNTA(A2:A4)</f>
        <v/>
      </c>
      <c r="C5" s="34" t="inlineStr">
        <is>
          <t>3 Tier-1 Aerospace Programs (FCC-900 / TRA-500 / TLG-800)</t>
        </is>
      </c>
      <c r="D5" s="36">
        <f>SUM(D2:D4)</f>
        <v/>
      </c>
      <c r="E5" s="35">
        <f>COUNTIF(E2:E4,"*APPROVED*")</f>
        <v/>
      </c>
      <c r="F5" s="35">
        <f>COUNTIF(F2:F4,"*APPROVED*")</f>
        <v/>
      </c>
      <c r="G5" s="35">
        <f>COUNTIF(G2:G4,"*APPROVED*")</f>
        <v/>
      </c>
      <c r="H5" s="35">
        <f>COUNTIF(H2:H4,"*APPROVED*")</f>
        <v/>
      </c>
      <c r="I5" s="37">
        <f>AVERAGE(I2:I4)</f>
        <v/>
      </c>
      <c r="J5" s="35">
        <f>COUNTIF(J2:J4,"READY_FOR_DISPATCH")</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2026-10-28T04:07:38Z</dcterms:created>
  <dcterms:modified xmlns:dcterms="http://purl.org/dc/terms/" xmlns:xsi="http://www.w3.org/2001/XMLSchema-instance" xsi:type="dcterms:W3CDTF">2026-10-28T04:07:39Z</dcterms:modified>
</cp:coreProperties>
</file>